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규모_요약" sheetId="1" state="visible" r:id="rId1"/>
    <sheet xmlns:r="http://schemas.openxmlformats.org/officeDocument/2006/relationships" name="M1_TopDown_계산" sheetId="2" state="visible" r:id="rId2"/>
    <sheet xmlns:r="http://schemas.openxmlformats.org/officeDocument/2006/relationships" name="M2_BottomUp_계산" sheetId="3" state="visible" r:id="rId3"/>
    <sheet xmlns:r="http://schemas.openxmlformats.org/officeDocument/2006/relationships" name="M3_Proxy_계산" sheetId="4" state="visible" r:id="rId4"/>
    <sheet xmlns:r="http://schemas.openxmlformats.org/officeDocument/2006/relationships" name="M4_Competitor_계산" sheetId="5" state="visible" r:id="rId5"/>
    <sheet xmlns:r="http://schemas.openxmlformats.org/officeDocument/2006/relationships" name="성장_시나리오" sheetId="6" state="visible" r:id="rId6"/>
    <sheet xmlns:r="http://schemas.openxmlformats.org/officeDocument/2006/relationships" name="기회별_시장규모" sheetId="7" state="visible" r:id="rId7"/>
    <sheet xmlns:r="http://schemas.openxmlformats.org/officeDocument/2006/relationships" name="재무모델_OPP001" sheetId="8" state="visible" r:id="rId8"/>
    <sheet xmlns:r="http://schemas.openxmlformats.org/officeDocument/2006/relationships" name="재무모델_OPP002" sheetId="9" state="visible" r:id="rId9"/>
    <sheet xmlns:r="http://schemas.openxmlformats.org/officeDocument/2006/relationships" name="재무모델_OPP003" sheetId="10" state="visible" r:id="rId10"/>
    <sheet xmlns:r="http://schemas.openxmlformats.org/officeDocument/2006/relationships" name="주요_가정_ASM" sheetId="11" state="visible" r:id="rId11"/>
    <sheet xmlns:r="http://schemas.openxmlformats.org/officeDocument/2006/relationships" name="기회_우선순위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B USD&quot;"/>
    <numFmt numFmtId="165" formatCode="#,##0&quot;억원&quot;"/>
    <numFmt numFmtId="166" formatCode="0.0%"/>
    <numFmt numFmtId="167" formatCode="#,##0&quot;만원&quot;"/>
    <numFmt numFmtId="168" formatCode="0&quot;B JPY&quot;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sz val="11"/>
    </font>
    <font>
      <b val="1"/>
      <color rgb="00FF0000"/>
      <sz val="11"/>
    </font>
    <font>
      <i val="1"/>
      <color rgb="00666666"/>
      <sz val="9"/>
    </font>
    <font>
      <b val="1"/>
      <sz val="12"/>
    </font>
    <font>
      <b val="1"/>
      <color rgb="00FF0000"/>
      <sz val="12"/>
    </font>
    <font>
      <b val="1"/>
      <color rgb="00008000"/>
    </font>
    <font>
      <b val="1"/>
      <color rgb="00FF000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2" fillId="2" borderId="0" pivotButton="0" quotePrefix="0" xfId="0"/>
    <xf numFmtId="165" fontId="2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7" fillId="4" borderId="0" pivotButton="0" quotePrefix="0" xfId="0"/>
    <xf numFmtId="165" fontId="5" fillId="4" borderId="0" pivotButton="0" quotePrefix="0" xfId="0"/>
    <xf numFmtId="164" fontId="0" fillId="0" borderId="0" pivotButton="0" quotePrefix="0" xfId="0"/>
    <xf numFmtId="0" fontId="4" fillId="4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65" fontId="8" fillId="4" borderId="0" pivotButton="0" quotePrefix="0" xfId="0"/>
    <xf numFmtId="168" fontId="0" fillId="0" borderId="0" pivotButton="0" quotePrefix="0" xfId="0"/>
    <xf numFmtId="0" fontId="10" fillId="4" borderId="0" pivotButton="0" quotePrefix="0" xfId="0"/>
    <xf numFmtId="166" fontId="10" fillId="4" borderId="0" pivotButton="0" quotePrefix="0" xfId="0"/>
    <xf numFmtId="165" fontId="10" fillId="4" borderId="0" pivotButton="0" quotePrefix="0" xfId="0"/>
    <xf numFmtId="0" fontId="2" fillId="5" borderId="0" pivotButton="0" quotePrefix="0" xfId="0"/>
    <xf numFmtId="165" fontId="2" fillId="5" borderId="0" pivotButton="0" quotePrefix="0" xfId="0"/>
    <xf numFmtId="165" fontId="2" fillId="4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국내 온라인 마케팅 SaaS 시장 규모 - 4가지 방법 수렴 분석</t>
        </is>
      </c>
    </row>
    <row r="3">
      <c r="A3" s="2" t="inlineStr">
        <is>
          <t>방법</t>
        </is>
      </c>
      <c r="B3" s="2" t="inlineStr">
        <is>
          <t>SAM (2024, 억원)</t>
        </is>
      </c>
      <c r="C3" s="2" t="inlineStr">
        <is>
          <t>평균 대비 편차</t>
        </is>
      </c>
      <c r="D3" s="2" t="inlineStr">
        <is>
          <t>신뢰도</t>
        </is>
      </c>
      <c r="E3" s="2" t="inlineStr">
        <is>
          <t>계산 시트</t>
        </is>
      </c>
    </row>
    <row r="4">
      <c r="A4" t="inlineStr">
        <is>
          <t>Method 1: Top-Down</t>
        </is>
      </c>
      <c r="B4" s="3">
        <f>M1_TopDown_계산!C14</f>
        <v/>
      </c>
      <c r="C4" s="4">
        <f>(B4-$B$10)/$B$10</f>
        <v/>
      </c>
      <c r="D4" t="inlineStr">
        <is>
          <t>높음</t>
        </is>
      </c>
      <c r="E4" t="inlineStr">
        <is>
          <t>M1_TopDown_계산</t>
        </is>
      </c>
    </row>
    <row r="5">
      <c r="A5" t="inlineStr">
        <is>
          <t>Method 2: Bottom-Up</t>
        </is>
      </c>
      <c r="B5" s="3">
        <f>M2_BottomUp_계산!G24</f>
        <v/>
      </c>
      <c r="C5" s="4">
        <f>(B5-$B$10)/$B$10</f>
        <v/>
      </c>
      <c r="D5" t="inlineStr">
        <is>
          <t>중간</t>
        </is>
      </c>
      <c r="E5" t="inlineStr">
        <is>
          <t>M2_BottomUp_계산</t>
        </is>
      </c>
    </row>
    <row r="6">
      <c r="A6" t="inlineStr">
        <is>
          <t>Method 3: Proxy (일본)</t>
        </is>
      </c>
      <c r="B6" s="3">
        <f>M3_Proxy_계산!C34</f>
        <v/>
      </c>
      <c r="C6" s="4">
        <f>(B6-$B$10)/$B$10</f>
        <v/>
      </c>
      <c r="D6" t="inlineStr">
        <is>
          <t>중간</t>
        </is>
      </c>
      <c r="E6" t="inlineStr">
        <is>
          <t>M3_Proxy_계산</t>
        </is>
      </c>
    </row>
    <row r="7">
      <c r="A7" t="inlineStr">
        <is>
          <t>Method 4: Competitor Revenue</t>
        </is>
      </c>
      <c r="B7" s="3">
        <f>M4_Competitor_계산!E31</f>
        <v/>
      </c>
      <c r="C7" s="4">
        <f>(B7-$B$10)/$B$10</f>
        <v/>
      </c>
      <c r="D7" t="inlineStr">
        <is>
          <t>중간</t>
        </is>
      </c>
      <c r="E7" t="inlineStr">
        <is>
          <t>M4_Competitor_계산</t>
        </is>
      </c>
    </row>
    <row r="9">
      <c r="A9" s="5" t="inlineStr">
        <is>
          <t>수렴 분석</t>
        </is>
      </c>
    </row>
    <row r="10">
      <c r="A10" t="inlineStr">
        <is>
          <t>평균 (Mean)</t>
        </is>
      </c>
      <c r="B10" s="6">
        <f>AVERAGE(B4:B7)</f>
        <v/>
      </c>
    </row>
    <row r="11">
      <c r="A11" t="inlineStr">
        <is>
          <t>중앙값 (Median)</t>
        </is>
      </c>
      <c r="B11" s="3">
        <f>MEDIAN(B4:B7)</f>
        <v/>
      </c>
    </row>
    <row r="12">
      <c r="A12" t="inlineStr">
        <is>
          <t>표준편차 (SD)</t>
        </is>
      </c>
      <c r="B12" s="3">
        <f>STDEV(B4:B7)</f>
        <v/>
      </c>
    </row>
    <row r="13">
      <c r="A13" t="inlineStr">
        <is>
          <t>변동계수 (CV)</t>
        </is>
      </c>
      <c r="B13" s="4">
        <f>B12/B10</f>
        <v/>
      </c>
      <c r="C13" t="inlineStr">
        <is>
          <t>&lt; 30% 신뢰성 높음</t>
        </is>
      </c>
      <c r="D13" s="7">
        <f>IF(B13&lt;0.3,"✅ 신뢰성 높음","⚠️ 편차 큼")</f>
        <v/>
      </c>
    </row>
    <row r="14">
      <c r="A14" t="inlineStr">
        <is>
          <t>Max/Min Ratio</t>
        </is>
      </c>
      <c r="B14" s="8">
        <f>MAX(B4:B7)/MIN(B4:B7)</f>
        <v/>
      </c>
      <c r="C14" t="inlineStr">
        <is>
          <t>&lt; 2.0 수렴 양호</t>
        </is>
      </c>
      <c r="D14" s="7">
        <f>IF(B14&lt;2,"✅ 수렴 양호","⚠️ 편차 큼")</f>
        <v/>
      </c>
    </row>
    <row r="16">
      <c r="A16" s="5" t="inlineStr">
        <is>
          <t>가중 평균 계산</t>
        </is>
      </c>
    </row>
    <row r="17">
      <c r="A17" s="2" t="inlineStr">
        <is>
          <t>방법</t>
        </is>
      </c>
      <c r="B17" s="2" t="inlineStr">
        <is>
          <t>가중치</t>
        </is>
      </c>
      <c r="C17" s="2" t="inlineStr">
        <is>
          <t>가중 기여</t>
        </is>
      </c>
    </row>
    <row r="18">
      <c r="A18" t="inlineStr">
        <is>
          <t>Top-Down</t>
        </is>
      </c>
      <c r="B18" s="4" t="n">
        <v>0.2</v>
      </c>
      <c r="C18" s="3">
        <f>B4*B18</f>
        <v/>
      </c>
    </row>
    <row r="19">
      <c r="A19" t="inlineStr">
        <is>
          <t>Bottom-Up</t>
        </is>
      </c>
      <c r="B19" s="4" t="n">
        <v>0.35</v>
      </c>
      <c r="C19" s="3">
        <f>B5*B19</f>
        <v/>
      </c>
    </row>
    <row r="20">
      <c r="A20" t="inlineStr">
        <is>
          <t>Proxy</t>
        </is>
      </c>
      <c r="B20" s="4" t="n">
        <v>0.25</v>
      </c>
      <c r="C20" s="3">
        <f>B6*B20</f>
        <v/>
      </c>
    </row>
    <row r="21">
      <c r="A21" t="inlineStr">
        <is>
          <t>Competitor</t>
        </is>
      </c>
      <c r="B21" s="4" t="n">
        <v>0.2</v>
      </c>
      <c r="C21" s="3">
        <f>B7*B21</f>
        <v/>
      </c>
    </row>
    <row r="22">
      <c r="A22" s="9" t="inlineStr">
        <is>
          <t>가중 평균 합계</t>
        </is>
      </c>
      <c r="C22" s="6">
        <f>SUM(C18:C21)</f>
        <v/>
      </c>
    </row>
    <row r="24">
      <c r="A24" s="10" t="inlineStr">
        <is>
          <t>최종 시장 규모 추정 (2024년)</t>
        </is>
      </c>
    </row>
    <row r="25">
      <c r="A25" t="inlineStr">
        <is>
          <t>보수적</t>
        </is>
      </c>
      <c r="B25" s="3" t="n">
        <v>2000</v>
      </c>
    </row>
    <row r="26">
      <c r="A26" t="inlineStr">
        <is>
          <t>중립적 (채택)</t>
        </is>
      </c>
      <c r="B26" s="11" t="n">
        <v>2700</v>
      </c>
      <c r="C26" t="inlineStr">
        <is>
          <t>← 가중평균 보수 조정</t>
        </is>
      </c>
    </row>
    <row r="27">
      <c r="A27" t="inlineStr">
        <is>
          <t>낙관적</t>
        </is>
      </c>
      <c r="B27" s="3" t="n">
        <v>3500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</cols>
  <sheetData>
    <row r="1">
      <c r="A1" s="1" t="inlineStr">
        <is>
          <t>Method 1: Top-Down (하향식 계산)</t>
        </is>
      </c>
    </row>
    <row r="3">
      <c r="A3" s="5" t="inlineStr">
        <is>
          <t>1. 글로벌 시장 규모</t>
        </is>
      </c>
    </row>
    <row r="4">
      <c r="A4" t="inlineStr">
        <is>
          <t>글로벌 MA 시장 (2024)</t>
        </is>
      </c>
      <c r="B4" s="12" t="n">
        <v>7.53</v>
      </c>
      <c r="C4" t="inlineStr">
        <is>
          <t>출처: Gartner, Grand View Research</t>
        </is>
      </c>
    </row>
    <row r="5">
      <c r="A5" t="inlineStr">
        <is>
          <t>원화 환율</t>
        </is>
      </c>
      <c r="B5" t="n">
        <v>1330</v>
      </c>
      <c r="C5" t="inlineStr">
        <is>
          <t>2024년 평균 환율</t>
        </is>
      </c>
    </row>
    <row r="6">
      <c r="A6" t="inlineStr">
        <is>
          <t>글로벌 시장 (원화)</t>
        </is>
      </c>
      <c r="B6" s="6">
        <f>B4*B5*100</f>
        <v/>
      </c>
    </row>
    <row r="8">
      <c r="A8" s="5" t="inlineStr">
        <is>
          <t>2. 한국 비중 추정</t>
        </is>
      </c>
    </row>
    <row r="9">
      <c r="A9" s="2" t="inlineStr">
        <is>
          <t>방법</t>
        </is>
      </c>
      <c r="B9" s="2" t="inlineStr">
        <is>
          <t>계산</t>
        </is>
      </c>
      <c r="C9" s="2" t="inlineStr">
        <is>
          <t>결과 (억원)</t>
        </is>
      </c>
    </row>
    <row r="10">
      <c r="A10" t="inlineStr">
        <is>
          <t>A. GDP 비례</t>
        </is>
      </c>
      <c r="B10" t="inlineStr">
        <is>
          <t>글로벌 GDP: $105T, 한국: $1.79T</t>
        </is>
      </c>
      <c r="C10" s="3">
        <f>B6*1.79/105</f>
        <v/>
      </c>
    </row>
    <row r="11">
      <c r="A11" t="inlineStr">
        <is>
          <t>B. 디지털 광고비 비례</t>
        </is>
      </c>
      <c r="B11" t="inlineStr">
        <is>
          <t>글로벌: $700B, 한국: $12B</t>
        </is>
      </c>
      <c r="C11" s="3">
        <f>B6*12/700</f>
        <v/>
      </c>
    </row>
    <row r="12">
      <c r="A12" t="inlineStr">
        <is>
          <t>C. SaaS 성숙도 조정</t>
        </is>
      </c>
      <c r="B12" t="inlineStr">
        <is>
          <t>GDP 비중 × 1.2 (성숙도)</t>
        </is>
      </c>
      <c r="C12" s="3">
        <f>C10*1.2</f>
        <v/>
      </c>
    </row>
    <row r="14">
      <c r="A14" s="13" t="inlineStr">
        <is>
          <t>Top-Down 최종 (방법 C 채택)</t>
        </is>
      </c>
      <c r="C14" s="11">
        <f>C12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2" customWidth="1" min="3" max="3"/>
    <col width="13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Method 2: Bottom-Up (상향식 계산)</t>
        </is>
      </c>
    </row>
    <row r="3">
      <c r="A3" s="2" t="inlineStr">
        <is>
          <t>세그먼트</t>
        </is>
      </c>
      <c r="B3" s="2" t="inlineStr">
        <is>
          <t>기업/매장 수</t>
        </is>
      </c>
      <c r="C3" s="2" t="inlineStr">
        <is>
          <t>도입률</t>
        </is>
      </c>
      <c r="D3" s="2" t="inlineStr">
        <is>
          <t>도입 기업</t>
        </is>
      </c>
      <c r="E3" s="2" t="inlineStr">
        <is>
          <t>ARPU (만원/월)</t>
        </is>
      </c>
      <c r="F3" s="2" t="inlineStr">
        <is>
          <t>월 매출 (억원)</t>
        </is>
      </c>
      <c r="G3" s="2" t="inlineStr">
        <is>
          <t>연 매출 (억원)</t>
        </is>
      </c>
    </row>
    <row r="4">
      <c r="A4" t="inlineStr">
        <is>
          <t>B2B - 대기업</t>
        </is>
      </c>
      <c r="B4" s="14" t="n">
        <v>500</v>
      </c>
      <c r="C4" s="4" t="n">
        <v>0.7</v>
      </c>
      <c r="D4" s="14">
        <f>B4*C4</f>
        <v/>
      </c>
      <c r="E4" s="15" t="n">
        <v>400</v>
      </c>
      <c r="F4" s="3">
        <f>D4*E4/10000</f>
        <v/>
      </c>
      <c r="G4" s="3">
        <f>F4*12</f>
        <v/>
      </c>
      <c r="H4" s="16" t="inlineStr">
        <is>
          <t>← ASM_001</t>
        </is>
      </c>
    </row>
    <row r="5">
      <c r="A5" t="inlineStr">
        <is>
          <t>B2B - 중견기업</t>
        </is>
      </c>
      <c r="B5" s="14" t="n">
        <v>5000</v>
      </c>
      <c r="C5" s="4" t="n">
        <v>0.4</v>
      </c>
      <c r="D5" s="14">
        <f>B5*C5</f>
        <v/>
      </c>
      <c r="E5" s="15" t="n">
        <v>150</v>
      </c>
      <c r="F5" s="3">
        <f>D5*E5/10000</f>
        <v/>
      </c>
      <c r="G5" s="3">
        <f>F5*12</f>
        <v/>
      </c>
    </row>
    <row r="6">
      <c r="A6" t="inlineStr">
        <is>
          <t>B2B - SMB</t>
        </is>
      </c>
      <c r="B6" s="14" t="n">
        <v>100000</v>
      </c>
      <c r="C6" s="4" t="n">
        <v>0.2</v>
      </c>
      <c r="D6" s="14">
        <f>B6*C6</f>
        <v/>
      </c>
      <c r="E6" s="15" t="n">
        <v>50</v>
      </c>
      <c r="F6" s="3">
        <f>D6*E6/10000</f>
        <v/>
      </c>
      <c r="G6" s="3">
        <f>F6*12</f>
        <v/>
      </c>
      <c r="H6" s="16" t="inlineStr">
        <is>
          <t>← ASM_002</t>
        </is>
      </c>
    </row>
    <row r="7">
      <c r="A7" t="inlineStr">
        <is>
          <t>B2B - 스타트업</t>
        </is>
      </c>
      <c r="B7" s="14" t="n">
        <v>3000</v>
      </c>
      <c r="C7" s="4" t="n">
        <v>0.6</v>
      </c>
      <c r="D7" s="14">
        <f>B7*C7</f>
        <v/>
      </c>
      <c r="E7" s="15" t="n">
        <v>80</v>
      </c>
      <c r="F7" s="3">
        <f>D7*E7/10000</f>
        <v/>
      </c>
      <c r="G7" s="3">
        <f>F7*12</f>
        <v/>
      </c>
    </row>
    <row r="9">
      <c r="A9" t="inlineStr">
        <is>
          <t>B2C - 온라인 쇼핑몰</t>
        </is>
      </c>
      <c r="B9" s="14" t="n">
        <v>100000</v>
      </c>
      <c r="C9" s="4" t="n">
        <v>0.3</v>
      </c>
      <c r="D9" s="14">
        <f>B9*C9</f>
        <v/>
      </c>
      <c r="E9" s="15" t="n">
        <v>30</v>
      </c>
      <c r="F9" s="3">
        <f>D9*E9/10000</f>
        <v/>
      </c>
      <c r="G9" s="3">
        <f>F9*12</f>
        <v/>
      </c>
    </row>
    <row r="10">
      <c r="A10" t="inlineStr">
        <is>
          <t>B2C - 오프라인 매장</t>
        </is>
      </c>
      <c r="B10" s="14" t="n">
        <v>1000000</v>
      </c>
      <c r="C10" s="4" t="n">
        <v>0.05</v>
      </c>
      <c r="D10" s="14">
        <f>B10*C10</f>
        <v/>
      </c>
      <c r="E10" s="15" t="n">
        <v>10</v>
      </c>
      <c r="F10" s="3">
        <f>D10*E10/10000</f>
        <v/>
      </c>
      <c r="G10" s="3">
        <f>F10*12</f>
        <v/>
      </c>
      <c r="H10" s="16" t="inlineStr">
        <is>
          <t>← ASM_006</t>
        </is>
      </c>
    </row>
    <row r="12">
      <c r="A12" t="inlineStr">
        <is>
          <t>에이전시 - 대행사</t>
        </is>
      </c>
      <c r="B12" s="14" t="n">
        <v>3000</v>
      </c>
      <c r="C12" s="4" t="n">
        <v>0.8</v>
      </c>
      <c r="D12" s="14">
        <f>B12*C12</f>
        <v/>
      </c>
      <c r="E12" s="15" t="n">
        <v>200</v>
      </c>
      <c r="F12" s="3">
        <f>D12*E12/10000</f>
        <v/>
      </c>
      <c r="G12" s="3">
        <f>F12*12</f>
        <v/>
      </c>
    </row>
    <row r="13">
      <c r="A13" t="inlineStr">
        <is>
          <t>에이전시 - 프리랜서</t>
        </is>
      </c>
      <c r="B13" s="14" t="n">
        <v>10000</v>
      </c>
      <c r="C13" s="4" t="n">
        <v>0.3</v>
      </c>
      <c r="D13" s="14">
        <f>B13*C13</f>
        <v/>
      </c>
      <c r="E13" s="15" t="n">
        <v>30</v>
      </c>
      <c r="F13" s="3">
        <f>D13*E13/10000</f>
        <v/>
      </c>
      <c r="G13" s="3">
        <f>F13*12</f>
        <v/>
      </c>
    </row>
    <row r="14">
      <c r="A14" s="9" t="inlineStr">
        <is>
          <t>B2B 소계</t>
        </is>
      </c>
      <c r="G14" s="6">
        <f>SUM(G4:G7)</f>
        <v/>
      </c>
    </row>
    <row r="16">
      <c r="A16" s="9" t="inlineStr">
        <is>
          <t>B2C 소계</t>
        </is>
      </c>
      <c r="G16" s="6">
        <f>SUM(G9:G10)</f>
        <v/>
      </c>
    </row>
    <row r="18">
      <c r="A18" s="9" t="inlineStr">
        <is>
          <t>에이전시 소계</t>
        </is>
      </c>
      <c r="G18" s="6">
        <f>SUM(G12:G13)</f>
        <v/>
      </c>
    </row>
    <row r="20">
      <c r="A20" s="17" t="inlineStr">
        <is>
          <t>총 합계 (중복 포함)</t>
        </is>
      </c>
      <c r="G20" s="18">
        <f>G14+G16+G18</f>
        <v/>
      </c>
    </row>
    <row r="21">
      <c r="A21" t="inlineStr">
        <is>
          <t>중복 제거 (-15%)</t>
        </is>
      </c>
      <c r="B21" t="inlineStr">
        <is>
          <t>기업이 여러 카테고리 중복 사용</t>
        </is>
      </c>
      <c r="G21" s="3">
        <f>G20*0.85</f>
        <v/>
      </c>
    </row>
    <row r="22">
      <c r="A22" t="inlineStr">
        <is>
          <t>보수적 조정 (-5%)</t>
        </is>
      </c>
      <c r="B22" t="inlineStr">
        <is>
          <t>과대 추정 가능성 반영</t>
        </is>
      </c>
      <c r="G22" s="3">
        <f>G21*0.95</f>
        <v/>
      </c>
    </row>
    <row r="24">
      <c r="A24" s="10" t="inlineStr">
        <is>
          <t>Bottom-Up 최종 결과</t>
        </is>
      </c>
      <c r="G24" s="19">
        <f>ROUND(G22,-1)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</cols>
  <sheetData>
    <row r="1">
      <c r="A1" s="1" t="inlineStr">
        <is>
          <t>Method 3: Proxy (유사 시장 유추)</t>
        </is>
      </c>
    </row>
    <row r="3">
      <c r="A3" s="5" t="inlineStr">
        <is>
          <t>1. 일본 마케팅 SaaS 시장</t>
        </is>
      </c>
    </row>
    <row r="4">
      <c r="A4" t="inlineStr">
        <is>
          <t>일본 시장 규모 (2024)</t>
        </is>
      </c>
      <c r="B4" s="20" t="n">
        <v>480</v>
      </c>
      <c r="C4" t="inlineStr">
        <is>
          <t>출처: Yano Research Institute</t>
        </is>
      </c>
    </row>
    <row r="5">
      <c r="A5" t="inlineStr">
        <is>
          <t>엔화 환율</t>
        </is>
      </c>
      <c r="B5" t="n">
        <v>11.25</v>
      </c>
      <c r="C5" t="inlineStr">
        <is>
          <t>₩/JPY</t>
        </is>
      </c>
    </row>
    <row r="6">
      <c r="A6" t="inlineStr">
        <is>
          <t>일본 시장 (원화)</t>
        </is>
      </c>
      <c r="B6" s="6">
        <f>B4*B5*10</f>
        <v/>
      </c>
    </row>
    <row r="8">
      <c r="A8" s="5" t="inlineStr">
        <is>
          <t>2. 한국/일본 비교</t>
        </is>
      </c>
    </row>
    <row r="9">
      <c r="A9" s="2" t="inlineStr">
        <is>
          <t>지표</t>
        </is>
      </c>
      <c r="B9" s="2" t="inlineStr">
        <is>
          <t>일본</t>
        </is>
      </c>
      <c r="C9" s="2" t="inlineStr">
        <is>
          <t>한국</t>
        </is>
      </c>
      <c r="D9" s="2" t="inlineStr">
        <is>
          <t>비율 (한국/일본)</t>
        </is>
      </c>
    </row>
    <row r="10">
      <c r="A10" t="inlineStr">
        <is>
          <t>GDP</t>
        </is>
      </c>
      <c r="B10" t="inlineStr">
        <is>
          <t>$4.2T</t>
        </is>
      </c>
      <c r="C10" t="inlineStr">
        <is>
          <t>$1.8T</t>
        </is>
      </c>
      <c r="D10" s="4" t="n">
        <v>0.43</v>
      </c>
    </row>
    <row r="11">
      <c r="A11" t="inlineStr">
        <is>
          <t>인구</t>
        </is>
      </c>
      <c r="B11" t="inlineStr">
        <is>
          <t>124M</t>
        </is>
      </c>
      <c r="C11" t="inlineStr">
        <is>
          <t>52M</t>
        </is>
      </c>
      <c r="D11" s="4" t="n">
        <v>0.42</v>
      </c>
    </row>
    <row r="12">
      <c r="A12" t="inlineStr">
        <is>
          <t>디지털 광고비</t>
        </is>
      </c>
      <c r="B12" t="inlineStr">
        <is>
          <t>¥3.3T</t>
        </is>
      </c>
      <c r="C12" t="inlineStr">
        <is>
          <t>₩16T</t>
        </is>
      </c>
      <c r="D12" s="4" t="n">
        <v>0.48</v>
      </c>
    </row>
    <row r="13">
      <c r="A13" t="inlineStr">
        <is>
          <t>기업 수</t>
        </is>
      </c>
      <c r="B13" t="inlineStr">
        <is>
          <t>3.6M</t>
        </is>
      </c>
      <c r="C13" t="inlineStr">
        <is>
          <t>1.5M</t>
        </is>
      </c>
      <c r="D13" s="4" t="n">
        <v>0.42</v>
      </c>
    </row>
    <row r="14">
      <c r="A14" t="inlineStr">
        <is>
          <t>SaaS 성숙도</t>
        </is>
      </c>
      <c r="B14" t="inlineStr">
        <is>
          <t>100%</t>
        </is>
      </c>
      <c r="C14" t="inlineStr">
        <is>
          <t>85%</t>
        </is>
      </c>
      <c r="D14" s="4" t="n">
        <v>0.85</v>
      </c>
    </row>
    <row r="16">
      <c r="A16" s="5" t="inlineStr">
        <is>
          <t>3. 한국 시장 추정</t>
        </is>
      </c>
    </row>
    <row r="17">
      <c r="A17" s="2" t="inlineStr">
        <is>
          <t>방법</t>
        </is>
      </c>
      <c r="B17" s="2" t="inlineStr">
        <is>
          <t>계산식</t>
        </is>
      </c>
      <c r="C17" s="2" t="inlineStr">
        <is>
          <t>결과 (억원)</t>
        </is>
      </c>
    </row>
    <row r="18">
      <c r="A18" t="inlineStr">
        <is>
          <t>A. GDP 비례</t>
        </is>
      </c>
      <c r="B18" t="inlineStr">
        <is>
          <t>일본 시장 × GDP 비율</t>
        </is>
      </c>
      <c r="C18" s="3">
        <f>B6*D10</f>
        <v/>
      </c>
    </row>
    <row r="19">
      <c r="A19" t="inlineStr">
        <is>
          <t>B. 광고비 비례</t>
        </is>
      </c>
      <c r="B19" t="inlineStr">
        <is>
          <t>일본 시장 × 광고비 비율</t>
        </is>
      </c>
      <c r="C19" s="3">
        <f>B6*D12</f>
        <v/>
      </c>
    </row>
    <row r="20">
      <c r="A20" t="inlineStr">
        <is>
          <t>C. 기업 수 비례</t>
        </is>
      </c>
      <c r="B20" t="inlineStr">
        <is>
          <t>일본 시장 × 기업 수 비율</t>
        </is>
      </c>
      <c r="C20" s="3">
        <f>B6*D13</f>
        <v/>
      </c>
    </row>
    <row r="21">
      <c r="A21" t="inlineStr">
        <is>
          <t>D. 가중 평균</t>
        </is>
      </c>
      <c r="B21" t="inlineStr">
        <is>
          <t>GDP 30% + 광고비 40% + 기업 30%</t>
        </is>
      </c>
      <c r="C21" s="3">
        <f>C18*0.3+C19*0.4+C20*0.3</f>
        <v/>
      </c>
    </row>
    <row r="23">
      <c r="A23" s="5" t="inlineStr">
        <is>
          <t>4. SaaS 성숙도 조정</t>
        </is>
      </c>
    </row>
    <row r="24">
      <c r="A24" t="inlineStr">
        <is>
          <t>가중 평균</t>
        </is>
      </c>
      <c r="C24" s="3">
        <f>C21</f>
        <v/>
      </c>
    </row>
    <row r="25">
      <c r="A25" t="inlineStr">
        <is>
          <t>SaaS 성숙도 (한국/일본)</t>
        </is>
      </c>
      <c r="C25" s="4">
        <f>D14</f>
        <v/>
      </c>
    </row>
    <row r="26">
      <c r="A26" t="inlineStr">
        <is>
          <t>성숙도 조정 후</t>
        </is>
      </c>
      <c r="C26" s="3">
        <f>C24*C25</f>
        <v/>
      </c>
    </row>
    <row r="28">
      <c r="A28" s="5" t="inlineStr">
        <is>
          <t>5. 성장 격차 고려</t>
        </is>
      </c>
    </row>
    <row r="29">
      <c r="A29" t="inlineStr">
        <is>
          <t>디지털 전환 속도 (+25%)</t>
        </is>
      </c>
      <c r="C29" t="n">
        <v>1.25</v>
      </c>
    </row>
    <row r="30">
      <c r="A30" t="inlineStr">
        <is>
          <t>모바일 우선 문화 (+15%)</t>
        </is>
      </c>
      <c r="C30" t="n">
        <v>1.15</v>
      </c>
    </row>
    <row r="31">
      <c r="A31" t="inlineStr">
        <is>
          <t>복합 성장 배율</t>
        </is>
      </c>
      <c r="C31" s="8">
        <f>C29*C30</f>
        <v/>
      </c>
    </row>
    <row r="32">
      <c r="A32" t="inlineStr">
        <is>
          <t>최종 조정</t>
        </is>
      </c>
      <c r="C32" s="3">
        <f>C26*C31</f>
        <v/>
      </c>
    </row>
    <row r="34">
      <c r="A34" s="10" t="inlineStr">
        <is>
          <t>Proxy 최종 결과 (일본 기반)</t>
        </is>
      </c>
      <c r="C34" s="19">
        <f>ROUND(C32,-1)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18" customWidth="1" min="4" max="4"/>
    <col width="18" customWidth="1" min="5" max="5"/>
    <col width="12" customWidth="1" min="6" max="6"/>
  </cols>
  <sheetData>
    <row r="1">
      <c r="A1" s="1" t="inlineStr">
        <is>
          <t>Method 4: Competitor Revenue (경쟁사 매출 역산)</t>
        </is>
      </c>
    </row>
    <row r="3">
      <c r="A3" s="5" t="inlineStr">
        <is>
          <t>1. 주요 플레이어 매출 (2024년 추정)</t>
        </is>
      </c>
    </row>
    <row r="5">
      <c r="A5" s="2" t="inlineStr">
        <is>
          <t>Tier</t>
        </is>
      </c>
      <c r="B5" s="2" t="inlineStr">
        <is>
          <t>회사</t>
        </is>
      </c>
      <c r="C5" s="2" t="inlineStr">
        <is>
          <t>고객 수</t>
        </is>
      </c>
      <c r="D5" s="2" t="inlineStr">
        <is>
          <t>ARPU (만원/월)</t>
        </is>
      </c>
      <c r="E5" s="2" t="inlineStr">
        <is>
          <t>연 매출 (억원)</t>
        </is>
      </c>
    </row>
    <row r="6">
      <c r="A6" t="inlineStr">
        <is>
          <t>Tier 1</t>
        </is>
      </c>
      <c r="B6" t="inlineStr">
        <is>
          <t>HubSpot</t>
        </is>
      </c>
      <c r="C6" s="14" t="n">
        <v>700</v>
      </c>
      <c r="D6" s="15" t="n">
        <v>150</v>
      </c>
      <c r="E6" s="3">
        <f>C6*D6*12/10000</f>
        <v/>
      </c>
    </row>
    <row r="7">
      <c r="A7" t="inlineStr">
        <is>
          <t>Tier 1</t>
        </is>
      </c>
      <c r="B7" t="inlineStr">
        <is>
          <t>Salesforce</t>
        </is>
      </c>
      <c r="C7" s="14" t="n">
        <v>400</v>
      </c>
      <c r="D7" s="15" t="n">
        <v>400</v>
      </c>
      <c r="E7" s="3">
        <f>C7*D7*12/10000</f>
        <v/>
      </c>
    </row>
    <row r="9">
      <c r="A9" t="inlineStr">
        <is>
          <t>Tier 2</t>
        </is>
      </c>
      <c r="B9" t="inlineStr">
        <is>
          <t>에이아이스페라</t>
        </is>
      </c>
      <c r="C9" s="14" t="n">
        <v>4000</v>
      </c>
      <c r="D9" s="15" t="n">
        <v>30</v>
      </c>
      <c r="E9" s="3">
        <f>C9*D9*12/10000</f>
        <v/>
      </c>
    </row>
    <row r="10">
      <c r="A10" t="inlineStr">
        <is>
          <t>Tier 2</t>
        </is>
      </c>
      <c r="B10" t="inlineStr">
        <is>
          <t>스티비</t>
        </is>
      </c>
      <c r="C10" s="14" t="n">
        <v>12000</v>
      </c>
      <c r="D10" s="15" t="n">
        <v>10</v>
      </c>
      <c r="E10" s="3">
        <f>C10*D10*12/10000</f>
        <v/>
      </c>
    </row>
    <row r="11">
      <c r="A11" t="inlineStr">
        <is>
          <t>Tier 2</t>
        </is>
      </c>
      <c r="B11" t="inlineStr">
        <is>
          <t>Relate CRM</t>
        </is>
      </c>
      <c r="C11" s="14" t="n">
        <v>400</v>
      </c>
      <c r="D11" s="15" t="n">
        <v>10</v>
      </c>
      <c r="E11" s="3">
        <f>C11*D11*12/10000</f>
        <v/>
      </c>
    </row>
    <row r="12">
      <c r="A12" t="inlineStr">
        <is>
          <t>Tier 2</t>
        </is>
      </c>
      <c r="B12" t="inlineStr">
        <is>
          <t>채널톡</t>
        </is>
      </c>
      <c r="C12" s="14" t="n">
        <v>8000</v>
      </c>
      <c r="D12" s="15" t="n">
        <v>15</v>
      </c>
      <c r="E12" s="3">
        <f>C12*D12*12/10000</f>
        <v/>
      </c>
    </row>
    <row r="13">
      <c r="A13" t="inlineStr">
        <is>
          <t>Tier 2</t>
        </is>
      </c>
      <c r="B13" t="inlineStr">
        <is>
          <t>카페24 (MA)</t>
        </is>
      </c>
      <c r="C13" s="14" t="n">
        <v>25000</v>
      </c>
      <c r="D13" s="15" t="n">
        <v>8</v>
      </c>
      <c r="E13" s="3">
        <f>C13*D13*12/10000</f>
        <v/>
      </c>
    </row>
    <row r="14">
      <c r="A14" t="inlineStr">
        <is>
          <t>Tier 2</t>
        </is>
      </c>
      <c r="B14" t="inlineStr">
        <is>
          <t>NHN클라우드</t>
        </is>
      </c>
      <c r="C14" s="14" t="n">
        <v>3000</v>
      </c>
      <c r="D14" s="15" t="n">
        <v>50</v>
      </c>
      <c r="E14" s="3">
        <f>C14*D14*12/10000</f>
        <v/>
      </c>
    </row>
    <row r="15">
      <c r="A15" t="inlineStr">
        <is>
          <t>Tier 2</t>
        </is>
      </c>
      <c r="B15" t="inlineStr">
        <is>
          <t>그루비</t>
        </is>
      </c>
      <c r="C15" s="14" t="n">
        <v>150</v>
      </c>
      <c r="D15" s="15" t="n">
        <v>60</v>
      </c>
      <c r="E15" s="3">
        <f>C15*D15*12/10000</f>
        <v/>
      </c>
    </row>
    <row r="17">
      <c r="A17" t="inlineStr">
        <is>
          <t>Tier 3</t>
        </is>
      </c>
      <c r="B17" t="inlineStr">
        <is>
          <t>신흥 스타트업 (50개)</t>
        </is>
      </c>
      <c r="C17" s="14" t="n">
        <v>5000</v>
      </c>
      <c r="D17" s="15" t="n">
        <v>20</v>
      </c>
      <c r="E17" s="3">
        <f>C17*D17*12/10000</f>
        <v/>
      </c>
    </row>
    <row r="19">
      <c r="B19" s="9" t="inlineStr">
        <is>
          <t>Tier 1 소계</t>
        </is>
      </c>
      <c r="E19" s="6">
        <f>SUM(E6:E7)</f>
        <v/>
      </c>
    </row>
    <row r="20">
      <c r="B20" s="9" t="inlineStr">
        <is>
          <t>Tier 2 소계</t>
        </is>
      </c>
      <c r="E20" s="6">
        <f>SUM(E9:E15)</f>
        <v/>
      </c>
    </row>
    <row r="21">
      <c r="B21" s="9" t="inlineStr">
        <is>
          <t>Tier 3 소계</t>
        </is>
      </c>
      <c r="E21" s="6">
        <f>E17</f>
        <v/>
      </c>
    </row>
    <row r="23">
      <c r="B23" s="17" t="inlineStr">
        <is>
          <t>총 매출 합계</t>
        </is>
      </c>
      <c r="E23" s="18">
        <f>E19+E20+E21</f>
        <v/>
      </c>
    </row>
    <row r="25">
      <c r="A25" s="5" t="inlineStr">
        <is>
          <t>2. 시장 규모 역산</t>
        </is>
      </c>
    </row>
    <row r="26">
      <c r="A26" t="inlineStr">
        <is>
          <t>주요 플레이어 매출</t>
        </is>
      </c>
      <c r="E26" s="3">
        <f>E23</f>
        <v/>
      </c>
    </row>
    <row r="27">
      <c r="A27" t="inlineStr">
        <is>
          <t>시장 점유율 가정</t>
        </is>
      </c>
      <c r="E27" s="4" t="n">
        <v>0.55</v>
      </c>
      <c r="F27" s="16" t="inlineStr">
        <is>
          <t>← ASM_004</t>
        </is>
      </c>
    </row>
    <row r="28">
      <c r="A28" t="inlineStr">
        <is>
          <t>전체 시장 규모</t>
        </is>
      </c>
      <c r="E28" s="3">
        <f>E26/E27</f>
        <v/>
      </c>
    </row>
    <row r="29">
      <c r="A29" t="inlineStr">
        <is>
          <t>미포착 플레이어 조정 (+10%)</t>
        </is>
      </c>
      <c r="E29" s="3">
        <f>E28*1.1</f>
        <v/>
      </c>
    </row>
    <row r="31">
      <c r="A31" s="10" t="inlineStr">
        <is>
          <t>Competitor Revenue 최종 결과</t>
        </is>
      </c>
      <c r="E31" s="19">
        <f>ROUND(E29,-2)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시장 규모 성장 시나리오 (2024-2028)</t>
        </is>
      </c>
    </row>
    <row r="3">
      <c r="A3" s="2" t="inlineStr">
        <is>
          <t>시나리오</t>
        </is>
      </c>
      <c r="B3" s="2" t="inlineStr">
        <is>
          <t>CAGR</t>
        </is>
      </c>
      <c r="C3" s="2" t="inlineStr">
        <is>
          <t>2024</t>
        </is>
      </c>
      <c r="D3" s="2" t="inlineStr">
        <is>
          <t>2025</t>
        </is>
      </c>
      <c r="E3" s="2" t="inlineStr">
        <is>
          <t>2026</t>
        </is>
      </c>
      <c r="F3" s="2" t="inlineStr">
        <is>
          <t>2027</t>
        </is>
      </c>
      <c r="G3" s="2" t="inlineStr">
        <is>
          <t>2028</t>
        </is>
      </c>
      <c r="H3" s="16" t="inlineStr">
        <is>
          <t>← ASM_005</t>
        </is>
      </c>
    </row>
    <row r="4">
      <c r="A4" t="inlineStr">
        <is>
          <t>보수적</t>
        </is>
      </c>
      <c r="B4" s="4" t="n">
        <v>0.2</v>
      </c>
      <c r="C4" s="3">
        <f>시장규모_요약!B26</f>
        <v/>
      </c>
      <c r="D4" s="3">
        <f>C4*(1+B4)</f>
        <v/>
      </c>
      <c r="E4" s="3">
        <f>D4*(1+B4)</f>
        <v/>
      </c>
      <c r="F4" s="3">
        <f>E4*(1+B4)</f>
        <v/>
      </c>
      <c r="G4" s="3">
        <f>F4*(1+B4)</f>
        <v/>
      </c>
    </row>
    <row r="5">
      <c r="A5" s="21" t="inlineStr">
        <is>
          <t>중립적 (채택)</t>
        </is>
      </c>
      <c r="B5" s="22" t="n">
        <v>0.25</v>
      </c>
      <c r="C5" s="23">
        <f>시장규모_요약!B26</f>
        <v/>
      </c>
      <c r="D5" s="23">
        <f>C5*(1+B5)</f>
        <v/>
      </c>
      <c r="E5" s="23">
        <f>D5*(1+B5)</f>
        <v/>
      </c>
      <c r="F5" s="23">
        <f>E5*(1+B5)</f>
        <v/>
      </c>
      <c r="G5" s="23">
        <f>F5*(1+B5)</f>
        <v/>
      </c>
    </row>
    <row r="6">
      <c r="A6" t="inlineStr">
        <is>
          <t>낙관적</t>
        </is>
      </c>
      <c r="B6" s="4" t="n">
        <v>0.3</v>
      </c>
      <c r="C6" s="3">
        <f>시장규모_요약!B26</f>
        <v/>
      </c>
      <c r="D6" s="3">
        <f>C6*(1+B6)</f>
        <v/>
      </c>
      <c r="E6" s="3">
        <f>D6*(1+B6)</f>
        <v/>
      </c>
      <c r="F6" s="3">
        <f>E6*(1+B6)</f>
        <v/>
      </c>
      <c r="G6" s="3">
        <f>F6*(1+B6)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10개 사업 기회 시장 규모</t>
        </is>
      </c>
    </row>
    <row r="3">
      <c r="A3" s="2" t="inlineStr">
        <is>
          <t>OPP</t>
        </is>
      </c>
      <c r="B3" s="2" t="inlineStr">
        <is>
          <t>기회명</t>
        </is>
      </c>
      <c r="C3" s="2" t="inlineStr">
        <is>
          <t>TAM (억원)</t>
        </is>
      </c>
      <c r="D3" s="2" t="inlineStr">
        <is>
          <t>SAM (억원)</t>
        </is>
      </c>
      <c r="E3" s="2" t="inlineStr">
        <is>
          <t>SOM 3년 (억원)</t>
        </is>
      </c>
    </row>
    <row r="4">
      <c r="A4" t="inlineStr">
        <is>
          <t>OPP-001</t>
        </is>
      </c>
      <c r="B4" t="inlineStr">
        <is>
          <t>올인원 마케팅 플랫폼</t>
        </is>
      </c>
      <c r="C4" s="3" t="n">
        <v>2400</v>
      </c>
      <c r="D4" s="3" t="n">
        <v>252</v>
      </c>
      <c r="E4" s="3" t="n">
        <v>38</v>
      </c>
    </row>
    <row r="5">
      <c r="A5" s="24" t="inlineStr">
        <is>
          <t>OPP-002</t>
        </is>
      </c>
      <c r="B5" s="24" t="inlineStr">
        <is>
          <t>Vertical SaaS (음식점)</t>
        </is>
      </c>
      <c r="C5" s="25" t="n">
        <v>2520</v>
      </c>
      <c r="D5" s="25" t="n">
        <v>252</v>
      </c>
      <c r="E5" s="25" t="n">
        <v>25</v>
      </c>
    </row>
    <row r="6">
      <c r="A6" t="inlineStr">
        <is>
          <t>OPP-003</t>
        </is>
      </c>
      <c r="B6" t="inlineStr">
        <is>
          <t>어트리뷰션 &amp; ROI</t>
        </is>
      </c>
      <c r="C6" s="3" t="n">
        <v>720</v>
      </c>
      <c r="D6" s="3" t="n">
        <v>720</v>
      </c>
      <c r="E6" s="3" t="n">
        <v>36</v>
      </c>
    </row>
    <row r="7">
      <c r="A7" t="inlineStr">
        <is>
          <t>OPP-004</t>
        </is>
      </c>
      <c r="B7" t="inlineStr">
        <is>
          <t>도구 마켓플레이스</t>
        </is>
      </c>
      <c r="C7" s="3" t="n">
        <v>500</v>
      </c>
      <c r="D7" s="3" t="n">
        <v>250</v>
      </c>
      <c r="E7" s="3" t="n">
        <v>25</v>
      </c>
    </row>
    <row r="8">
      <c r="A8" t="inlineStr">
        <is>
          <t>OPP-005</t>
        </is>
      </c>
      <c r="B8" t="inlineStr">
        <is>
          <t>AI 크리에이티브</t>
        </is>
      </c>
      <c r="C8" s="3" t="n">
        <v>300</v>
      </c>
      <c r="D8" s="3" t="n">
        <v>150</v>
      </c>
      <c r="E8" s="3" t="n">
        <v>15</v>
      </c>
    </row>
    <row r="9">
      <c r="A9" t="inlineStr">
        <is>
          <t>OPP-006</t>
        </is>
      </c>
      <c r="B9" t="inlineStr">
        <is>
          <t>B2B 리드 생성</t>
        </is>
      </c>
      <c r="C9" s="3" t="n">
        <v>400</v>
      </c>
      <c r="D9" s="3" t="n">
        <v>200</v>
      </c>
      <c r="E9" s="3" t="n">
        <v>10</v>
      </c>
    </row>
    <row r="10">
      <c r="A10" t="inlineStr">
        <is>
          <t>OPP-007</t>
        </is>
      </c>
      <c r="B10" t="inlineStr">
        <is>
          <t>인플루언서 MA</t>
        </is>
      </c>
      <c r="C10" s="3" t="n">
        <v>600</v>
      </c>
      <c r="D10" s="3" t="n">
        <v>300</v>
      </c>
      <c r="E10" s="3" t="n">
        <v>30</v>
      </c>
    </row>
    <row r="11">
      <c r="A11" t="inlineStr">
        <is>
          <t>OPP-008</t>
        </is>
      </c>
      <c r="B11" t="inlineStr">
        <is>
          <t>소상공인 앱</t>
        </is>
      </c>
      <c r="C11" s="3" t="n">
        <v>1000</v>
      </c>
      <c r="D11" s="3" t="n">
        <v>300</v>
      </c>
      <c r="E11" s="3" t="n">
        <v>30</v>
      </c>
    </row>
    <row r="12">
      <c r="A12" t="inlineStr">
        <is>
          <t>OPP-009</t>
        </is>
      </c>
      <c r="B12" t="inlineStr">
        <is>
          <t>컨설팅 SaaS</t>
        </is>
      </c>
      <c r="C12" s="3" t="n">
        <v>200</v>
      </c>
      <c r="D12" s="3" t="n">
        <v>100</v>
      </c>
      <c r="E12" s="3" t="n">
        <v>5</v>
      </c>
    </row>
    <row r="13">
      <c r="A13" t="inlineStr">
        <is>
          <t>OPP-010</t>
        </is>
      </c>
      <c r="B13" t="inlineStr">
        <is>
          <t>벤치마크</t>
        </is>
      </c>
      <c r="C13" s="3" t="n">
        <v>150</v>
      </c>
      <c r="D13" s="3" t="n">
        <v>75</v>
      </c>
      <c r="E13" s="3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OPP-001: 올인원 플랫폼 - 3년 재무 모델</t>
        </is>
      </c>
    </row>
    <row r="3">
      <c r="A3" s="2" t="inlineStr">
        <is>
          <t>지표</t>
        </is>
      </c>
      <c r="B3" s="2" t="inlineStr">
        <is>
          <t>Y1</t>
        </is>
      </c>
      <c r="C3" s="2" t="inlineStr">
        <is>
          <t>Y2</t>
        </is>
      </c>
      <c r="D3" s="2" t="inlineStr">
        <is>
          <t>Y3</t>
        </is>
      </c>
    </row>
    <row r="4">
      <c r="A4" t="inlineStr">
        <is>
          <t>고객 수</t>
        </is>
      </c>
      <c r="B4" t="n">
        <v>500</v>
      </c>
      <c r="C4" t="n">
        <v>2000</v>
      </c>
      <c r="D4" t="n">
        <v>5000</v>
      </c>
    </row>
    <row r="5">
      <c r="A5" t="inlineStr">
        <is>
          <t>ARPU (만원/월)</t>
        </is>
      </c>
      <c r="B5" t="n">
        <v>30</v>
      </c>
      <c r="C5" t="n">
        <v>50</v>
      </c>
      <c r="D5" t="n">
        <v>70</v>
      </c>
    </row>
    <row r="6">
      <c r="A6" t="inlineStr">
        <is>
          <t>MRR (억원)</t>
        </is>
      </c>
      <c r="B6" s="3">
        <f>B4*B5/10000</f>
        <v/>
      </c>
      <c r="C6" s="3">
        <f>C4*C5/10000</f>
        <v/>
      </c>
      <c r="D6" s="3">
        <f>D4*D5/10000</f>
        <v/>
      </c>
    </row>
    <row r="7">
      <c r="A7" t="inlineStr">
        <is>
          <t>ARR (억원)</t>
        </is>
      </c>
      <c r="B7" s="26">
        <f>B6*12</f>
        <v/>
      </c>
      <c r="C7" s="26">
        <f>C6*12</f>
        <v/>
      </c>
      <c r="D7" s="26">
        <f>D6*12</f>
        <v/>
      </c>
    </row>
    <row r="8">
      <c r="A8" t="inlineStr">
        <is>
          <t>YoY 성장률</t>
        </is>
      </c>
      <c r="B8" t="inlineStr">
        <is>
          <t>-</t>
        </is>
      </c>
      <c r="C8" s="4">
        <f>(C7-B7)/B7</f>
        <v/>
      </c>
      <c r="D8" s="4">
        <f>(D7-C7)/C7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OPP-002: Vertical SaaS (음식점) - 3년 재무 모델</t>
        </is>
      </c>
    </row>
    <row r="3">
      <c r="A3" s="2" t="inlineStr">
        <is>
          <t>지표</t>
        </is>
      </c>
      <c r="B3" s="2" t="inlineStr">
        <is>
          <t>Y1</t>
        </is>
      </c>
      <c r="C3" s="2" t="inlineStr">
        <is>
          <t>Y2</t>
        </is>
      </c>
      <c r="D3" s="2" t="inlineStr">
        <is>
          <t>Y3</t>
        </is>
      </c>
    </row>
    <row r="4">
      <c r="A4" t="inlineStr">
        <is>
          <t>고객 수</t>
        </is>
      </c>
      <c r="B4" t="n">
        <v>300</v>
      </c>
      <c r="C4" t="n">
        <v>1000</v>
      </c>
      <c r="D4" t="n">
        <v>1800</v>
      </c>
    </row>
    <row r="5">
      <c r="A5" t="inlineStr">
        <is>
          <t>ARPU (만원/월)</t>
        </is>
      </c>
      <c r="B5" t="n">
        <v>10</v>
      </c>
      <c r="C5" t="n">
        <v>10</v>
      </c>
      <c r="D5" t="n">
        <v>12</v>
      </c>
    </row>
    <row r="6">
      <c r="A6" t="inlineStr">
        <is>
          <t>MRR (억원)</t>
        </is>
      </c>
      <c r="B6" s="3">
        <f>B4*B5/10000</f>
        <v/>
      </c>
      <c r="C6" s="3">
        <f>C4*C5/10000</f>
        <v/>
      </c>
      <c r="D6" s="3">
        <f>D4*D5/10000</f>
        <v/>
      </c>
    </row>
    <row r="7">
      <c r="A7" t="inlineStr">
        <is>
          <t>ARR (억원)</t>
        </is>
      </c>
      <c r="B7" s="26">
        <f>B6*12</f>
        <v/>
      </c>
      <c r="C7" s="26">
        <f>C6*12</f>
        <v/>
      </c>
      <c r="D7" s="26">
        <f>D6*12</f>
        <v/>
      </c>
    </row>
    <row r="8">
      <c r="A8" t="inlineStr">
        <is>
          <t>YoY 성장률</t>
        </is>
      </c>
      <c r="B8" t="inlineStr">
        <is>
          <t>-</t>
        </is>
      </c>
      <c r="C8" s="4">
        <f>(C7-B7)/B7</f>
        <v/>
      </c>
      <c r="D8" s="4">
        <f>(D7-C7)/C7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OPP-003: 어트리뷰션 &amp; ROI - 3년 재무 모델</t>
        </is>
      </c>
    </row>
    <row r="3">
      <c r="A3" s="2" t="inlineStr">
        <is>
          <t>지표</t>
        </is>
      </c>
      <c r="B3" s="2" t="inlineStr">
        <is>
          <t>Y1</t>
        </is>
      </c>
      <c r="C3" s="2" t="inlineStr">
        <is>
          <t>Y2</t>
        </is>
      </c>
      <c r="D3" s="2" t="inlineStr">
        <is>
          <t>Y3</t>
        </is>
      </c>
    </row>
    <row r="4">
      <c r="A4" t="inlineStr">
        <is>
          <t>고객 수</t>
        </is>
      </c>
      <c r="B4" t="n">
        <v>200</v>
      </c>
      <c r="C4" t="n">
        <v>800</v>
      </c>
      <c r="D4" t="n">
        <v>2000</v>
      </c>
    </row>
    <row r="5">
      <c r="A5" t="inlineStr">
        <is>
          <t>ARPU (만원/월)</t>
        </is>
      </c>
      <c r="B5" t="n">
        <v>50</v>
      </c>
      <c r="C5" t="n">
        <v>60</v>
      </c>
      <c r="D5" t="n">
        <v>70</v>
      </c>
    </row>
    <row r="6">
      <c r="A6" t="inlineStr">
        <is>
          <t>MRR (억원)</t>
        </is>
      </c>
      <c r="B6" s="3">
        <f>B4*B5/10000</f>
        <v/>
      </c>
      <c r="C6" s="3">
        <f>C4*C5/10000</f>
        <v/>
      </c>
      <c r="D6" s="3">
        <f>D4*D5/10000</f>
        <v/>
      </c>
    </row>
    <row r="7">
      <c r="A7" t="inlineStr">
        <is>
          <t>ARR (억원)</t>
        </is>
      </c>
      <c r="B7" s="26">
        <f>B6*12</f>
        <v/>
      </c>
      <c r="C7" s="26">
        <f>C6*12</f>
        <v/>
      </c>
      <c r="D7" s="26">
        <f>D6*12</f>
        <v/>
      </c>
    </row>
    <row r="8">
      <c r="A8" t="inlineStr">
        <is>
          <t>YoY 성장률</t>
        </is>
      </c>
      <c r="B8" t="inlineStr">
        <is>
          <t>-</t>
        </is>
      </c>
      <c r="C8" s="4">
        <f>(C7-B7)/B7</f>
        <v/>
      </c>
      <c r="D8" s="4">
        <f>(D7-C7)/C7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5" customWidth="1" min="4" max="4"/>
    <col width="25" customWidth="1" min="5" max="5"/>
  </cols>
  <sheetData>
    <row r="1">
      <c r="A1" s="1" t="inlineStr">
        <is>
          <t>주요 가정 (Assumptions) 추적</t>
        </is>
      </c>
    </row>
    <row r="3">
      <c r="A3" s="2" t="inlineStr">
        <is>
          <t>ASM ID</t>
        </is>
      </c>
      <c r="B3" s="2" t="inlineStr">
        <is>
          <t>가정 내용</t>
        </is>
      </c>
      <c r="C3" s="2" t="inlineStr">
        <is>
          <t>값</t>
        </is>
      </c>
      <c r="D3" s="2" t="inlineStr">
        <is>
          <t>사용 위치</t>
        </is>
      </c>
      <c r="E3" s="2" t="inlineStr">
        <is>
          <t>근거</t>
        </is>
      </c>
    </row>
    <row r="4">
      <c r="A4" t="inlineStr">
        <is>
          <t>ASM_001</t>
        </is>
      </c>
      <c r="B4" t="inlineStr">
        <is>
          <t>대기업 MA 도입률</t>
        </is>
      </c>
      <c r="C4" s="4" t="n">
        <v>0.7</v>
      </c>
      <c r="D4" t="inlineStr">
        <is>
          <t>M2: B2B 대기업</t>
        </is>
      </c>
      <c r="E4" t="inlineStr">
        <is>
          <t>Gartner Survey</t>
        </is>
      </c>
    </row>
    <row r="5">
      <c r="A5" t="inlineStr">
        <is>
          <t>ASM_002</t>
        </is>
      </c>
      <c r="B5" t="inlineStr">
        <is>
          <t>SMB MA 도입률</t>
        </is>
      </c>
      <c r="C5" s="4" t="n">
        <v>0.2</v>
      </c>
      <c r="D5" t="inlineStr">
        <is>
          <t>M2: B2B SMB</t>
        </is>
      </c>
      <c r="E5" t="inlineStr">
        <is>
          <t>중소벤처기업부</t>
        </is>
      </c>
    </row>
    <row r="6">
      <c r="A6" t="inlineStr">
        <is>
          <t>ASM_003</t>
        </is>
      </c>
      <c r="B6" t="inlineStr">
        <is>
          <t>한국 SaaS 성숙도</t>
        </is>
      </c>
      <c r="C6" s="4" t="n">
        <v>0.85</v>
      </c>
      <c r="D6" t="inlineStr">
        <is>
          <t>M3: Proxy</t>
        </is>
      </c>
      <c r="E6" t="inlineStr">
        <is>
          <t>시장 관찰</t>
        </is>
      </c>
    </row>
    <row r="7">
      <c r="A7" t="inlineStr">
        <is>
          <t>ASM_004</t>
        </is>
      </c>
      <c r="B7" t="inlineStr">
        <is>
          <t>주요 플레이어 점유율</t>
        </is>
      </c>
      <c r="C7" s="4" t="n">
        <v>0.55</v>
      </c>
      <c r="D7" t="inlineStr">
        <is>
          <t>M4: Competitor</t>
        </is>
      </c>
      <c r="E7" t="inlineStr">
        <is>
          <t>파편화 시장</t>
        </is>
      </c>
    </row>
    <row r="8">
      <c r="A8" t="inlineStr">
        <is>
          <t>ASM_005</t>
        </is>
      </c>
      <c r="B8" t="inlineStr">
        <is>
          <t>CAGR (2024-2028)</t>
        </is>
      </c>
      <c r="C8" s="4" t="n">
        <v>0.25</v>
      </c>
      <c r="D8" t="inlineStr">
        <is>
          <t>성장 시나리오</t>
        </is>
      </c>
      <c r="E8" t="inlineStr">
        <is>
          <t>디지털 전환</t>
        </is>
      </c>
    </row>
    <row r="9">
      <c r="A9" t="inlineStr">
        <is>
          <t>ASM_006</t>
        </is>
      </c>
      <c r="B9" t="inlineStr">
        <is>
          <t>오프라인 도구 사용률</t>
        </is>
      </c>
      <c r="C9" s="4" t="n">
        <v>0.05</v>
      </c>
      <c r="D9" t="inlineStr">
        <is>
          <t>M2: B2C 오프라인</t>
        </is>
      </c>
      <c r="E9" t="inlineStr">
        <is>
          <t>소상공인진흥공단</t>
        </is>
      </c>
    </row>
    <row r="10">
      <c r="A10" t="inlineStr">
        <is>
          <t>ASM_007</t>
        </is>
      </c>
      <c r="B10" t="inlineStr">
        <is>
          <t>Freemium 유료 전환율</t>
        </is>
      </c>
      <c r="C10" s="4" t="n">
        <v>0.1</v>
      </c>
      <c r="D10" t="inlineStr">
        <is>
          <t>재무 모델</t>
        </is>
      </c>
      <c r="E10" t="inlineStr">
        <is>
          <t>업계 평균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10개 사업 기회 우선순위 매트릭스</t>
        </is>
      </c>
    </row>
    <row r="3">
      <c r="A3" s="2" t="inlineStr">
        <is>
          <t>OPP</t>
        </is>
      </c>
      <c r="B3" s="2" t="inlineStr">
        <is>
          <t>기회명</t>
        </is>
      </c>
      <c r="C3" s="2" t="inlineStr">
        <is>
          <t>TAM</t>
        </is>
      </c>
      <c r="D3" s="2" t="inlineStr">
        <is>
          <t>Pain</t>
        </is>
      </c>
      <c r="E3" s="2" t="inlineStr">
        <is>
          <t>Comp</t>
        </is>
      </c>
      <c r="F3" s="2" t="inlineStr">
        <is>
          <t>TTM</t>
        </is>
      </c>
      <c r="G3" s="2" t="inlineStr">
        <is>
          <t>Moat</t>
        </is>
      </c>
      <c r="H3" s="2" t="inlineStr">
        <is>
          <t>총점</t>
        </is>
      </c>
    </row>
    <row r="4">
      <c r="A4" t="inlineStr">
        <is>
          <t>OPP-001</t>
        </is>
      </c>
      <c r="B4" t="inlineStr">
        <is>
          <t>올인원 플랫폼</t>
        </is>
      </c>
      <c r="C4" t="n">
        <v>10</v>
      </c>
      <c r="D4" t="n">
        <v>9</v>
      </c>
      <c r="E4" t="n">
        <v>6</v>
      </c>
      <c r="F4" t="n">
        <v>5</v>
      </c>
      <c r="G4" t="n">
        <v>8</v>
      </c>
      <c r="H4" s="9">
        <f>SUM(C4:G4)</f>
        <v/>
      </c>
    </row>
    <row r="5">
      <c r="A5" s="24" t="inlineStr">
        <is>
          <t>OPP-002</t>
        </is>
      </c>
      <c r="B5" s="24" t="inlineStr">
        <is>
          <t>Vertical SaaS</t>
        </is>
      </c>
      <c r="C5" s="24" t="n">
        <v>7</v>
      </c>
      <c r="D5" s="24" t="n">
        <v>10</v>
      </c>
      <c r="E5" s="24" t="n">
        <v>8</v>
      </c>
      <c r="F5" s="24" t="n">
        <v>9</v>
      </c>
      <c r="G5" s="24" t="n">
        <v>7</v>
      </c>
      <c r="H5" s="24">
        <f>SUM(C5:G5)</f>
        <v/>
      </c>
    </row>
    <row r="6">
      <c r="A6" t="inlineStr">
        <is>
          <t>OPP-003</t>
        </is>
      </c>
      <c r="B6" t="inlineStr">
        <is>
          <t>어트리뷰션</t>
        </is>
      </c>
      <c r="C6" t="n">
        <v>8</v>
      </c>
      <c r="D6" t="n">
        <v>9</v>
      </c>
      <c r="E6" t="n">
        <v>7</v>
      </c>
      <c r="F6" t="n">
        <v>7</v>
      </c>
      <c r="G6" t="n">
        <v>6</v>
      </c>
      <c r="H6" s="9">
        <f>SUM(C6:G6)</f>
        <v/>
      </c>
    </row>
    <row r="7">
      <c r="A7" t="inlineStr">
        <is>
          <t>OPP-004</t>
        </is>
      </c>
      <c r="B7" t="inlineStr">
        <is>
          <t>마켓플레이스</t>
        </is>
      </c>
      <c r="C7" t="n">
        <v>7</v>
      </c>
      <c r="D7" t="n">
        <v>6</v>
      </c>
      <c r="E7" t="n">
        <v>5</v>
      </c>
      <c r="F7" t="n">
        <v>4</v>
      </c>
      <c r="G7" t="n">
        <v>9</v>
      </c>
      <c r="H7" s="9">
        <f>SUM(C7:G7)</f>
        <v/>
      </c>
    </row>
    <row r="8">
      <c r="A8" t="inlineStr">
        <is>
          <t>OPP-005</t>
        </is>
      </c>
      <c r="B8" t="inlineStr">
        <is>
          <t>AI 크리에이티브</t>
        </is>
      </c>
      <c r="C8" t="n">
        <v>6</v>
      </c>
      <c r="D8" t="n">
        <v>7</v>
      </c>
      <c r="E8" t="n">
        <v>4</v>
      </c>
      <c r="F8" t="n">
        <v>8</v>
      </c>
      <c r="G8" t="n">
        <v>5</v>
      </c>
      <c r="H8" s="9">
        <f>SUM(C8:G8)</f>
        <v/>
      </c>
    </row>
    <row r="9">
      <c r="A9" t="inlineStr">
        <is>
          <t>OPP-006</t>
        </is>
      </c>
      <c r="B9" t="inlineStr">
        <is>
          <t>B2B 리드</t>
        </is>
      </c>
      <c r="C9" t="n">
        <v>6</v>
      </c>
      <c r="D9" t="n">
        <v>8</v>
      </c>
      <c r="E9" t="n">
        <v>6</v>
      </c>
      <c r="F9" t="n">
        <v>7</v>
      </c>
      <c r="G9" t="n">
        <v>5</v>
      </c>
      <c r="H9" s="9">
        <f>SUM(C9:G9)</f>
        <v/>
      </c>
    </row>
    <row r="10">
      <c r="A10" t="inlineStr">
        <is>
          <t>OPP-007</t>
        </is>
      </c>
      <c r="B10" t="inlineStr">
        <is>
          <t>인플루언서</t>
        </is>
      </c>
      <c r="C10" t="n">
        <v>7</v>
      </c>
      <c r="D10" t="n">
        <v>7</v>
      </c>
      <c r="E10" t="n">
        <v>5</v>
      </c>
      <c r="F10" t="n">
        <v>6</v>
      </c>
      <c r="G10" t="n">
        <v>4</v>
      </c>
      <c r="H10" s="9">
        <f>SUM(C10:G10)</f>
        <v/>
      </c>
    </row>
    <row r="11">
      <c r="A11" t="inlineStr">
        <is>
          <t>OPP-008</t>
        </is>
      </c>
      <c r="B11" t="inlineStr">
        <is>
          <t>소상공인 앱</t>
        </is>
      </c>
      <c r="C11" t="n">
        <v>8</v>
      </c>
      <c r="D11" t="n">
        <v>9</v>
      </c>
      <c r="E11" t="n">
        <v>7</v>
      </c>
      <c r="F11" t="n">
        <v>8</v>
      </c>
      <c r="G11" t="n">
        <v>3</v>
      </c>
      <c r="H11" s="9">
        <f>SUM(C11:G11)</f>
        <v/>
      </c>
    </row>
    <row r="12">
      <c r="A12" t="inlineStr">
        <is>
          <t>OPP-009</t>
        </is>
      </c>
      <c r="B12" t="inlineStr">
        <is>
          <t>컨설팅</t>
        </is>
      </c>
      <c r="C12" t="n">
        <v>5</v>
      </c>
      <c r="D12" t="n">
        <v>7</v>
      </c>
      <c r="E12" t="n">
        <v>8</v>
      </c>
      <c r="F12" t="n">
        <v>5</v>
      </c>
      <c r="G12" t="n">
        <v>6</v>
      </c>
      <c r="H12" s="9">
        <f>SUM(C12:G12)</f>
        <v/>
      </c>
    </row>
    <row r="13">
      <c r="A13" t="inlineStr">
        <is>
          <t>OPP-010</t>
        </is>
      </c>
      <c r="B13" t="inlineStr">
        <is>
          <t>벤치마크</t>
        </is>
      </c>
      <c r="C13" t="n">
        <v>4</v>
      </c>
      <c r="D13" t="n">
        <v>5</v>
      </c>
      <c r="E13" t="n">
        <v>9</v>
      </c>
      <c r="F13" t="n">
        <v>6</v>
      </c>
      <c r="G13" t="n">
        <v>7</v>
      </c>
      <c r="H13" s="9">
        <f>SUM(C13:G13)</f>
        <v/>
      </c>
    </row>
    <row r="15">
      <c r="A15" s="27" t="inlineStr">
        <is>
          <t>점수: 10=최고, 1=최저 | TAM=시장크기, Pain=고통강도, Comp=경쟁, TTM=출시속도, Moat=진입장벽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2025-11-05T10:19:52Z</dcterms:created>
  <dcterms:modified xmlns:dcterms="http://purl.org/dc/terms/" xmlns:xsi="http://www.w3.org/2001/XMLSchema-instance" xsi:type="dcterms:W3CDTF">2025-11-05T10:19:52Z</dcterms:modified>
</cp:coreProperties>
</file>