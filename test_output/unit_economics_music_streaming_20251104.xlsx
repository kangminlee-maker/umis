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LTV_Calculation" sheetId="3" state="visible" r:id="rId3"/>
    <sheet xmlns:r="http://schemas.openxmlformats.org/officeDocument/2006/relationships" name="CAC_Analysis" sheetId="4" state="visible" r:id="rId4"/>
    <sheet xmlns:r="http://schemas.openxmlformats.org/officeDocument/2006/relationships" name="LTV_CAC_Ratio" sheetId="5" state="visible" r:id="rId5"/>
    <sheet xmlns:r="http://schemas.openxmlformats.org/officeDocument/2006/relationships" name="Payback_Period" sheetId="6" state="visible" r:id="rId6"/>
    <sheet xmlns:r="http://schemas.openxmlformats.org/officeDocument/2006/relationships" name="Sensitivity_Analysis" sheetId="7" state="visible" r:id="rId7"/>
    <sheet xmlns:r="http://schemas.openxmlformats.org/officeDocument/2006/relationships" name="UE_Scenarios" sheetId="8" state="visible" r:id="rId8"/>
    <sheet xmlns:r="http://schemas.openxmlformats.org/officeDocument/2006/relationships" name="Cohort_LTV" sheetId="9" state="visible" r:id="rId9"/>
    <sheet xmlns:r="http://schemas.openxmlformats.org/officeDocument/2006/relationships" name="Benchmark_Comparison" sheetId="10" state="visible" r:id="rId10"/>
  </sheets>
  <definedNames>
    <definedName name="ARPU">'Inputs'!$B$5</definedName>
    <definedName name="CAC">'Inputs'!$B$6</definedName>
    <definedName name="GrossMargin">'Inputs'!$B$7</definedName>
    <definedName name="MonthlyChurn">'Inputs'!$B$8</definedName>
    <definedName name="CustomerLifetime">'Inputs'!$B$9</definedName>
    <definedName name="SMSpend">'Inputs'!$B$12</definedName>
    <definedName name="NewCustomers">'Inputs'!$B$13</definedName>
    <definedName name="LTV_Method1">'LTV_Calculation'!$B$9</definedName>
    <definedName name="LTV_Method2">'LTV_Calculation'!$B$16</definedName>
    <definedName name="LTV">'LTV_Calculation'!$B$18</definedName>
    <definedName name="CAC_Calculated">'CAC_Analysis'!$B$8</definedName>
    <definedName name="LTV_CAC_Ratio">'LTV_CAC_Ratio'!$B$7</definedName>
    <definedName name="PaybackPeriod">'Payback_Period'!$B$10</definedName>
  </definedNames>
  <calcPr calcId="124519" calcMode="auto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&quot;%&quot;"/>
    <numFmt numFmtId="167" formatCode="0.0"/>
    <numFmt numFmtId="168" formatCode="₩#,##0"/>
  </numFmts>
  <fonts count="2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0"/>
    </font>
    <font>
      <sz val="10"/>
    </font>
    <font>
      <b val="1"/>
      <sz val="10"/>
    </font>
    <font>
      <color rgb="00666666"/>
      <sz val="9"/>
    </font>
    <font>
      <sz val="9"/>
    </font>
    <font>
      <b val="1"/>
      <sz val="11"/>
    </font>
    <font>
      <i val="1"/>
      <sz val="10"/>
    </font>
    <font>
      <b val="1"/>
      <sz val="12"/>
    </font>
    <font>
      <b val="1"/>
      <color rgb="00FFFFFF"/>
      <sz val="12"/>
    </font>
    <font>
      <b val="1"/>
      <sz val="14"/>
    </font>
    <font>
      <b val="1"/>
      <sz val="9"/>
    </font>
    <font>
      <b val="1"/>
      <color rgb="00FFFFFF"/>
      <sz val="9"/>
    </font>
    <font>
      <b val="1"/>
    </font>
    <font>
      <i val="1"/>
      <color rgb="00666666"/>
      <sz val="9"/>
    </font>
    <font>
      <i val="1"/>
      <sz val="9"/>
    </font>
    <font>
      <b val="1"/>
      <color rgb="00FFFFFF"/>
      <sz val="16"/>
    </font>
    <font>
      <i val="1"/>
      <color rgb="00666666"/>
      <sz val="12"/>
    </font>
    <font>
      <sz val="11"/>
    </font>
    <font>
      <b val="1"/>
      <sz val="18"/>
    </font>
    <font>
      <b val="1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  <fill>
      <patternFill patternType="solid">
        <fgColor rgb="00E7E6E6"/>
        <bgColor rgb="00E7E6E6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8" fillId="1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0" fillId="0" borderId="0" pivotButton="0" quotePrefix="0" xfId="0"/>
    <xf numFmtId="0" fontId="20" fillId="0" borderId="0" pivotButton="0" quotePrefix="0" xfId="0"/>
    <xf numFmtId="168" fontId="12" fillId="0" borderId="0" applyAlignment="1" pivotButton="0" quotePrefix="0" xfId="0">
      <alignment horizontal="center"/>
    </xf>
    <xf numFmtId="2" fontId="2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7" fontId="1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5" fillId="0" borderId="0" pivotButton="0" quotePrefix="0" xfId="0"/>
    <xf numFmtId="0" fontId="7" fillId="0" borderId="0" pivotButton="0" quotePrefix="0" xfId="0"/>
    <xf numFmtId="0" fontId="22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3" fontId="5" fillId="3" borderId="0" pivotButton="0" quotePrefix="0" xfId="0"/>
    <xf numFmtId="0" fontId="7" fillId="0" borderId="0" applyAlignment="1" pivotButton="0" quotePrefix="0" xfId="0">
      <alignment wrapText="1"/>
    </xf>
    <xf numFmtId="164" fontId="5" fillId="3" borderId="0" pivotButton="0" quotePrefix="0" xfId="0"/>
    <xf numFmtId="165" fontId="5" fillId="3" borderId="0" pivotButton="0" quotePrefix="0" xfId="0"/>
    <xf numFmtId="0" fontId="8" fillId="0" borderId="0" pivotButton="0" quotePrefix="0" xfId="0"/>
    <xf numFmtId="3" fontId="0" fillId="3" borderId="0" pivotButton="0" quotePrefix="0" xfId="0"/>
    <xf numFmtId="0" fontId="9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3" fontId="8" fillId="4" borderId="0" pivotButton="0" quotePrefix="0" xfId="0"/>
    <xf numFmtId="3" fontId="11" fillId="5" borderId="0" pivotButton="0" quotePrefix="0" xfId="0"/>
    <xf numFmtId="166" fontId="0" fillId="0" borderId="0" pivotButton="0" quotePrefix="0" xfId="0"/>
    <xf numFmtId="0" fontId="3" fillId="2" borderId="0" pivotButton="0" quotePrefix="0" xfId="0"/>
    <xf numFmtId="2" fontId="12" fillId="0" borderId="0" pivotButton="0" quotePrefix="0" xfId="0"/>
    <xf numFmtId="0" fontId="14" fillId="6" borderId="0" pivotButton="0" quotePrefix="0" xfId="0"/>
    <xf numFmtId="0" fontId="7" fillId="0" borderId="0" applyAlignment="1" pivotButton="0" quotePrefix="0" xfId="0">
      <alignment horizontal="center"/>
    </xf>
    <xf numFmtId="0" fontId="13" fillId="7" borderId="0" pivotButton="0" quotePrefix="0" xfId="0"/>
    <xf numFmtId="0" fontId="13" fillId="5" borderId="0" pivotButton="0" quotePrefix="0" xfId="0"/>
    <xf numFmtId="0" fontId="14" fillId="8" borderId="0" pivotButton="0" quotePrefix="0" xfId="0"/>
    <xf numFmtId="0" fontId="13" fillId="0" borderId="0" pivotButton="0" quotePrefix="0" xfId="0"/>
    <xf numFmtId="167" fontId="10" fillId="4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2" fontId="0" fillId="0" borderId="0" pivotButton="0" quotePrefix="0" xfId="0"/>
    <xf numFmtId="2" fontId="15" fillId="9" borderId="0" pivotButton="0" quotePrefix="0" xfId="0"/>
    <xf numFmtId="0" fontId="16" fillId="0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15" fillId="5" borderId="0" applyAlignment="1" pivotButton="0" quotePrefix="0" xfId="0">
      <alignment horizontal="center"/>
    </xf>
    <xf numFmtId="3" fontId="15" fillId="0" borderId="0" pivotButton="0" quotePrefix="0" xfId="0"/>
    <xf numFmtId="164" fontId="15" fillId="0" borderId="0" pivotButton="0" quotePrefix="0" xfId="0"/>
    <xf numFmtId="3" fontId="15" fillId="5" borderId="0" pivotButton="0" quotePrefix="0" xfId="0"/>
    <xf numFmtId="2" fontId="15" fillId="5" borderId="0" pivotButton="0" quotePrefix="0" xfId="0"/>
    <xf numFmtId="167" fontId="0" fillId="0" borderId="0" pivotButton="0" quotePrefix="0" xfId="0"/>
    <xf numFmtId="167" fontId="15" fillId="5" borderId="0" pivotButton="0" quotePrefix="0" xfId="0"/>
    <xf numFmtId="3" fontId="0" fillId="0" borderId="0" applyAlignment="1" pivotButton="0" quotePrefix="0" xfId="0">
      <alignment horizontal="center"/>
    </xf>
    <xf numFmtId="0" fontId="17" fillId="0" borderId="0" pivotButton="0" quotePrefix="0" xfId="0"/>
    <xf numFmtId="166" fontId="15" fillId="4" borderId="0" pivotButton="0" quotePrefix="0" xfId="0"/>
    <xf numFmtId="2" fontId="15" fillId="0" borderId="0" pivotButton="0" quotePrefix="0" xfId="0"/>
    <xf numFmtId="167" fontId="15" fillId="0" borderId="0" pivotButton="0" quotePrefix="0" xfId="0"/>
    <xf numFmtId="167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3">
    <dxf>
      <font>
        <b val="1"/>
        <color rgb="00FFFFFF"/>
        <sz val="18"/>
      </font>
      <fill>
        <patternFill patternType="solid">
          <fgColor rgb="0000B050"/>
          <bgColor rgb="0000B050"/>
        </patternFill>
      </fill>
    </dxf>
    <dxf>
      <font>
        <b val="1"/>
        <color rgb="00FFFFFF"/>
        <sz val="18"/>
      </font>
      <fill>
        <patternFill patternType="solid">
          <fgColor rgb="0092D050"/>
          <bgColor rgb="0092D050"/>
        </patternFill>
      </fill>
    </dxf>
    <dxf>
      <font>
        <b val="1"/>
        <color rgb="00000000"/>
        <sz val="18"/>
      </font>
      <fill>
        <patternFill patternType="solid">
          <fgColor rgb="00FFC000"/>
          <bgColor rgb="00FFC000"/>
        </patternFill>
      </fill>
    </dxf>
    <dxf>
      <font>
        <b val="1"/>
        <color rgb="00FFFFFF"/>
        <sz val="18"/>
      </font>
      <fill>
        <patternFill patternType="solid">
          <fgColor rgb="00FF0000"/>
          <bgColor rgb="00FF0000"/>
        </patternFill>
      </fill>
    </dxf>
    <dxf>
      <font>
        <b val="1"/>
        <color rgb="00FFFFFF"/>
        <sz val="14"/>
      </font>
      <fill>
        <patternFill patternType="solid">
          <fgColor rgb="0000B050"/>
          <bgColor rgb="0000B050"/>
        </patternFill>
      </fill>
    </dxf>
    <dxf>
      <font>
        <b val="1"/>
        <color rgb="00FFFFFF"/>
        <sz val="14"/>
      </font>
      <fill>
        <patternFill patternType="solid">
          <fgColor rgb="0092D050"/>
          <bgColor rgb="0092D050"/>
        </patternFill>
      </fill>
    </dxf>
    <dxf>
      <font>
        <b val="1"/>
        <color rgb="00000000"/>
        <sz val="14"/>
      </font>
      <fill>
        <patternFill patternType="solid">
          <fgColor rgb="00FFC000"/>
          <bgColor rgb="00FFC000"/>
        </patternFill>
      </fill>
    </dxf>
    <dxf>
      <font>
        <b val="1"/>
        <color rgb="00FFFFFF"/>
        <sz val="14"/>
      </font>
      <fill>
        <patternFill patternType="solid">
          <fgColor rgb="00FF0000"/>
          <bgColor rgb="00FF0000"/>
        </patternFill>
      </fill>
    </dxf>
    <dxf>
      <font>
        <b val="1"/>
        <color rgb="00FFFFFF"/>
      </font>
      <fill>
        <patternFill patternType="solid">
          <fgColor rgb="0000B050"/>
          <bgColor rgb="0000B05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C000"/>
          <bgColor rgb="00FFC00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5" customWidth="1" min="4" max="4"/>
    <col width="25" customWidth="1" min="5" max="5"/>
  </cols>
  <sheetData>
    <row r="1" ht="35" customHeight="1">
      <c r="A1" s="1" t="inlineStr">
        <is>
          <t>Unit Economics Dashboard</t>
        </is>
      </c>
    </row>
    <row r="2">
      <c r="A2" s="2" t="inlineStr">
        <is>
          <t>music_streaming</t>
        </is>
      </c>
    </row>
    <row r="4">
      <c r="A4" s="3" t="inlineStr">
        <is>
          <t>📊 핵심 지표</t>
        </is>
      </c>
    </row>
    <row r="5">
      <c r="A5" s="4" t="inlineStr">
        <is>
          <t>Customer Lifetime Value (LTV)</t>
        </is>
      </c>
      <c r="B5" s="5">
        <f>LTV</f>
        <v/>
      </c>
    </row>
    <row r="6">
      <c r="A6" s="4" t="inlineStr">
        <is>
          <t>Customer Acquisition Cost (CAC)</t>
        </is>
      </c>
      <c r="B6" s="5">
        <f>CAC</f>
        <v/>
      </c>
    </row>
    <row r="7">
      <c r="A7" s="3" t="inlineStr">
        <is>
          <t>LTV/CAC Ratio</t>
        </is>
      </c>
      <c r="B7" s="6">
        <f>LTV_CAC_Ratio</f>
        <v/>
      </c>
      <c r="C7" s="7">
        <f>IF(LTV_CAC_Ratio&gt;=5, "우수", IF(LTV_CAC_Ratio&gt;=3, "양호", IF(LTV_CAC_Ratio&gt;=1.5, "주의", "위험")))</f>
        <v/>
      </c>
    </row>
    <row r="8">
      <c r="A8" s="4" t="inlineStr">
        <is>
          <t>CAC Payback Period</t>
        </is>
      </c>
      <c r="B8" s="8">
        <f>PaybackPeriod</f>
        <v/>
      </c>
      <c r="C8" s="9" t="inlineStr">
        <is>
          <t>개월</t>
        </is>
      </c>
    </row>
    <row r="10">
      <c r="A10" s="3" t="inlineStr">
        <is>
          <t>🏥 비즈니스 건강도</t>
        </is>
      </c>
    </row>
    <row r="11">
      <c r="A11" s="10" t="inlineStr">
        <is>
          <t>종합 평가:</t>
        </is>
      </c>
      <c r="B11" s="11">
        <f>IF(AND(LTV_CAC_Ratio&gt;=3, PaybackPeriod&lt;=12), "✅ 건강한 비즈니스", IF(OR(LTV_CAC_Ratio&lt;1.5, PaybackPeriod&gt;18), "❌ 비즈니스 모델 재검토", "⚠️ 개선 필요"))</f>
        <v/>
      </c>
    </row>
    <row r="13">
      <c r="A13" s="3" t="inlineStr">
        <is>
          <t>💡 핵심 권장사항</t>
        </is>
      </c>
    </row>
    <row r="14">
      <c r="A14" s="12" t="inlineStr">
        <is>
          <t>1. LTV 개선:</t>
        </is>
      </c>
      <c r="B14" s="13">
        <f>IF(MonthlyChurn&gt;0.05, "Churn 감소 필요 (현재 "&amp;TEXT(MonthlyChurn,"0.0%")&amp;")", "Churn 양호 ✅")</f>
        <v/>
      </c>
    </row>
    <row r="15">
      <c r="A15" s="12" t="inlineStr">
        <is>
          <t>2. CAC 최적화:</t>
        </is>
      </c>
      <c r="B15" s="13">
        <f>IF(PaybackPeriod&gt;12, "마케팅 효율화 필요 (Payback "&amp;TEXT(PaybackPeriod,"0.0")&amp;"개월)", "마케팅 효율 양호 ✅")</f>
        <v/>
      </c>
    </row>
    <row r="16">
      <c r="A16" s="12" t="inlineStr">
        <is>
          <t>3. Sensitivity:</t>
        </is>
      </c>
      <c r="B16" s="13" t="inlineStr">
        <is>
          <t>Sensitivity_Analysis 시트에서 가장 중요한 변수 확인</t>
        </is>
      </c>
    </row>
    <row r="18">
      <c r="A18" s="3" t="inlineStr">
        <is>
          <t>📋 다음 액션</t>
        </is>
      </c>
    </row>
    <row r="19">
      <c r="A19" s="13" t="inlineStr">
        <is>
          <t>1. Excel 전체 시트 검토 (Inputs → LTV → CAC → Ratio → Payback → Sensitivity → Scenarios)</t>
        </is>
      </c>
    </row>
    <row r="20">
      <c r="A20" s="13" t="inlineStr">
        <is>
          <t>2. 실제 데이터로 검증 (현재는 테스트 데이터)</t>
        </is>
      </c>
    </row>
    <row r="21">
      <c r="A21" s="13" t="inlineStr">
        <is>
          <t>3. Cohort_LTV 시트에 실제 코호트 데이터 입력</t>
        </is>
      </c>
    </row>
    <row r="22">
      <c r="A22" s="13" t="inlineStr">
        <is>
          <t>4. Benchmark_Comparison에서 업계 대비 포지셔닝 확인</t>
        </is>
      </c>
    </row>
    <row r="23">
      <c r="A23" s="13" t="inlineStr">
        <is>
          <t>5. Scenarios 시트에서 최악/최선 시나리오 확인</t>
        </is>
      </c>
    </row>
    <row r="25">
      <c r="A25" s="14" t="inlineStr">
        <is>
          <t>📊 상세 분석 시트</t>
        </is>
      </c>
    </row>
    <row r="26">
      <c r="A26" s="15" t="inlineStr">
        <is>
          <t>• Inputs: 핵심 지표 입력 (노란색 셀만 수정)</t>
        </is>
      </c>
    </row>
    <row r="27">
      <c r="A27" s="15" t="inlineStr">
        <is>
          <t>• LTV_Calculation: LTV 계산 상세 (2가지 방법)</t>
        </is>
      </c>
    </row>
    <row r="28">
      <c r="A28" s="15" t="inlineStr">
        <is>
          <t>• CAC_Analysis: CAC 계산 상세 (채널별 분석)</t>
        </is>
      </c>
    </row>
    <row r="29">
      <c r="A29" s="15" t="inlineStr">
        <is>
          <t>• LTV_CAC_Ratio: 비율 분석 + Traffic Light</t>
        </is>
      </c>
    </row>
    <row r="30">
      <c r="A30" s="15" t="inlineStr">
        <is>
          <t>• Payback_Period: 회수 기간 + 월별 Timeline</t>
        </is>
      </c>
    </row>
    <row r="31">
      <c r="A31" s="15" t="inlineStr">
        <is>
          <t>• Sensitivity_Analysis: 변수별 영향도 + 2-Way Matrix</t>
        </is>
      </c>
    </row>
    <row r="32">
      <c r="A32" s="15" t="inlineStr">
        <is>
          <t>• UE_Scenarios: 3가지 시나리오 비교</t>
        </is>
      </c>
    </row>
    <row r="33">
      <c r="A33" s="15" t="inlineStr">
        <is>
          <t>• Cohort_LTV: 코호트 개선 추적</t>
        </is>
      </c>
    </row>
    <row r="34">
      <c r="A34" s="15" t="inlineStr">
        <is>
          <t>• Benchmark_Comparison: 업계 벤치마크 비교</t>
        </is>
      </c>
    </row>
  </sheetData>
  <mergeCells count="24">
    <mergeCell ref="A30:E30"/>
    <mergeCell ref="A34:E34"/>
    <mergeCell ref="B15:E15"/>
    <mergeCell ref="A1:E1"/>
    <mergeCell ref="B16:E16"/>
    <mergeCell ref="A18:E18"/>
    <mergeCell ref="A27:E27"/>
    <mergeCell ref="A21:E21"/>
    <mergeCell ref="A26:E26"/>
    <mergeCell ref="A2:E2"/>
    <mergeCell ref="A33:E33"/>
    <mergeCell ref="B11:E11"/>
    <mergeCell ref="A23:E23"/>
    <mergeCell ref="A32:E32"/>
    <mergeCell ref="A22:E22"/>
    <mergeCell ref="B14:E14"/>
    <mergeCell ref="A29:E29"/>
    <mergeCell ref="A4:E4"/>
    <mergeCell ref="A20:E20"/>
    <mergeCell ref="A10:E10"/>
    <mergeCell ref="A28:E28"/>
    <mergeCell ref="A19:E19"/>
    <mergeCell ref="A13:E13"/>
    <mergeCell ref="A31:E31"/>
  </mergeCells>
  <conditionalFormatting sqref="B7">
    <cfRule type="expression" priority="1" dxfId="0" stopIfTrue="1">
      <formula>B7&gt;=5</formula>
    </cfRule>
    <cfRule type="expression" priority="2" dxfId="1" stopIfTrue="1">
      <formula>AND(B7&gt;=3, B7&lt;5)</formula>
    </cfRule>
    <cfRule type="expression" priority="3" dxfId="2" stopIfTrue="1">
      <formula>AND(B7&gt;=1.5, B7&lt;3)</formula>
    </cfRule>
    <cfRule type="expression" priority="4" dxfId="3" stopIfTrue="1">
      <formula>B7&lt;1.5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40" customWidth="1" min="4" max="4"/>
  </cols>
  <sheetData>
    <row r="1" ht="30" customHeight="1">
      <c r="A1" s="16" t="inlineStr">
        <is>
          <t>Unit Economics Inputs</t>
        </is>
      </c>
    </row>
    <row r="2">
      <c r="A2" s="17" t="inlineStr">
        <is>
          <t>핵심 지표 입력 (노란색 셀만 수정)</t>
        </is>
      </c>
    </row>
    <row r="4">
      <c r="A4" s="18" t="inlineStr">
        <is>
          <t>Metric</t>
        </is>
      </c>
      <c r="B4" s="18" t="inlineStr">
        <is>
          <t>Value</t>
        </is>
      </c>
      <c r="C4" s="18" t="inlineStr">
        <is>
          <t>Unit</t>
        </is>
      </c>
      <c r="D4" s="18" t="inlineStr">
        <is>
          <t>Description</t>
        </is>
      </c>
    </row>
    <row r="5">
      <c r="A5" s="10" t="inlineStr">
        <is>
          <t>ARPU (Average Revenue Per User)</t>
        </is>
      </c>
      <c r="B5" s="19" t="n">
        <v>9000</v>
      </c>
      <c r="C5" s="15" t="inlineStr">
        <is>
          <t>원/월</t>
        </is>
      </c>
      <c r="D5" s="20" t="inlineStr">
        <is>
          <t>고객 1명당 평균 월 매출</t>
        </is>
      </c>
    </row>
    <row r="6">
      <c r="A6" s="10" t="inlineStr">
        <is>
          <t>CAC (Customer Acquisition Cost)</t>
        </is>
      </c>
      <c r="B6" s="19" t="n">
        <v>25000</v>
      </c>
      <c r="C6" s="15" t="inlineStr">
        <is>
          <t>원</t>
        </is>
      </c>
      <c r="D6" s="20" t="inlineStr">
        <is>
          <t>고객 1명 획득 비용</t>
        </is>
      </c>
    </row>
    <row r="7">
      <c r="A7" s="10" t="inlineStr">
        <is>
          <t>Gross Margin</t>
        </is>
      </c>
      <c r="B7" s="21" t="n">
        <v>0.35</v>
      </c>
      <c r="C7" s="15" t="inlineStr">
        <is>
          <t>%</t>
        </is>
      </c>
      <c r="D7" s="20" t="inlineStr">
        <is>
          <t>매출총이익률 (Revenue - COGS) / Revenue</t>
        </is>
      </c>
    </row>
    <row r="8">
      <c r="A8" s="10" t="inlineStr">
        <is>
          <t>Monthly Churn Rate</t>
        </is>
      </c>
      <c r="B8" s="21" t="n">
        <v>0.04</v>
      </c>
      <c r="C8" s="15" t="inlineStr">
        <is>
          <t>%</t>
        </is>
      </c>
      <c r="D8" s="20" t="inlineStr">
        <is>
          <t>월별 고객 이탈률</t>
        </is>
      </c>
    </row>
    <row r="9">
      <c r="A9" s="10" t="inlineStr">
        <is>
          <t>Customer Lifetime</t>
        </is>
      </c>
      <c r="B9" s="22" t="n">
        <v>25</v>
      </c>
      <c r="C9" s="15" t="inlineStr">
        <is>
          <t>months</t>
        </is>
      </c>
      <c r="D9" s="20" t="inlineStr">
        <is>
          <t>평균 고객 생애 (개월)</t>
        </is>
      </c>
    </row>
    <row r="11">
      <c r="A11" s="23" t="inlineStr">
        <is>
          <t>Monthly S&amp;M Data (Optional)</t>
        </is>
      </c>
    </row>
    <row r="12">
      <c r="A12" s="10" t="inlineStr">
        <is>
          <t>Total S&amp;M Spend (Monthly)</t>
        </is>
      </c>
      <c r="B12" s="24" t="n">
        <v>5000000</v>
      </c>
      <c r="C12" t="inlineStr">
        <is>
          <t>원</t>
        </is>
      </c>
      <c r="D12" t="inlineStr">
        <is>
          <t>Sales &amp; Marketing 월별 총 지출</t>
        </is>
      </c>
    </row>
    <row r="13">
      <c r="A13" s="10" t="inlineStr">
        <is>
          <t>New Customers (Monthly)</t>
        </is>
      </c>
      <c r="B13" s="24" t="n">
        <v>200</v>
      </c>
      <c r="C13" t="inlineStr">
        <is>
          <t>명</t>
        </is>
      </c>
      <c r="D13" t="inlineStr">
        <is>
          <t>월별 신규 고객 수</t>
        </is>
      </c>
    </row>
    <row r="15">
      <c r="A15" s="12" t="inlineStr">
        <is>
          <t>📋 입력 가이드</t>
        </is>
      </c>
    </row>
    <row r="16">
      <c r="A16" s="13" t="inlineStr">
        <is>
          <t>• ARPU: 고객 1명의 평균 월 매출 (구독료, 평균 구매액 등)</t>
        </is>
      </c>
    </row>
    <row r="17">
      <c r="A17" s="13" t="inlineStr">
        <is>
          <t>• CAC: 마케팅 비용 / 신규 고객 수 (광고, 프로모션, 영업 비용)</t>
        </is>
      </c>
    </row>
    <row r="18">
      <c r="A18" s="13" t="inlineStr">
        <is>
          <t>• Gross Margin: (매출 - 원가) / 매출 (라이선스료, COGS 제외 후)</t>
        </is>
      </c>
    </row>
    <row r="19">
      <c r="A19" s="13" t="inlineStr">
        <is>
          <t>• Churn: 당월 해지 고객 / 전월 고객 수 (월별 이탈률)</t>
        </is>
      </c>
    </row>
    <row r="20">
      <c r="A20" s="13" t="inlineStr">
        <is>
          <t>• Lifetime: 1 / Monthly Churn 또는 실제 평균 생애 (개월)</t>
        </is>
      </c>
    </row>
  </sheetData>
  <mergeCells count="8">
    <mergeCell ref="A1:D1"/>
    <mergeCell ref="A17:D17"/>
    <mergeCell ref="A18:D18"/>
    <mergeCell ref="A11:D11"/>
    <mergeCell ref="A20:D20"/>
    <mergeCell ref="A16:D16"/>
    <mergeCell ref="A2:D2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35" customWidth="1" min="4" max="4"/>
  </cols>
  <sheetData>
    <row r="1" ht="30" customHeight="1">
      <c r="A1" s="16" t="inlineStr">
        <is>
          <t>LTV (Customer Lifetime Value) Calculation</t>
        </is>
      </c>
    </row>
    <row r="2">
      <c r="A2" s="17" t="inlineStr">
        <is>
          <t>고객 생애 가치 = 고객 1명이 생애 동안 창출하는 총 수익</t>
        </is>
      </c>
    </row>
    <row r="4">
      <c r="A4" s="23" t="inlineStr">
        <is>
          <t>방법 1: Lifetime 기반</t>
        </is>
      </c>
    </row>
    <row r="5">
      <c r="A5" t="inlineStr">
        <is>
          <t>Formula:</t>
        </is>
      </c>
      <c r="B5" s="25" t="inlineStr">
        <is>
          <t>LTV = ARPU × Lifetime × Gross Margin</t>
        </is>
      </c>
    </row>
    <row r="6">
      <c r="A6" t="inlineStr">
        <is>
          <t>ARPU (월)</t>
        </is>
      </c>
      <c r="B6" s="26">
        <f>ARPU</f>
        <v/>
      </c>
      <c r="C6" t="inlineStr">
        <is>
          <t>원</t>
        </is>
      </c>
    </row>
    <row r="7">
      <c r="A7" t="inlineStr">
        <is>
          <t>Customer Lifetime</t>
        </is>
      </c>
      <c r="B7" s="27">
        <f>CustomerLifetime</f>
        <v/>
      </c>
      <c r="C7" t="inlineStr">
        <is>
          <t>months</t>
        </is>
      </c>
    </row>
    <row r="8">
      <c r="A8" t="inlineStr">
        <is>
          <t>Gross Margin</t>
        </is>
      </c>
      <c r="B8" s="28">
        <f>GrossMargin</f>
        <v/>
      </c>
      <c r="C8" t="inlineStr">
        <is>
          <t>%</t>
        </is>
      </c>
    </row>
    <row r="9">
      <c r="A9" s="12" t="inlineStr">
        <is>
          <t>LTV (방법 1)</t>
        </is>
      </c>
      <c r="B9" s="29">
        <f>ARPU*CustomerLifetime*GrossMargin</f>
        <v/>
      </c>
      <c r="C9" t="inlineStr">
        <is>
          <t>원</t>
        </is>
      </c>
    </row>
    <row r="11">
      <c r="A11" s="23" t="inlineStr">
        <is>
          <t>방법 2: Churn 기반</t>
        </is>
      </c>
    </row>
    <row r="12">
      <c r="A12" t="inlineStr">
        <is>
          <t>Formula:</t>
        </is>
      </c>
      <c r="B12" s="25" t="inlineStr">
        <is>
          <t>LTV = ARPU × Gross Margin / Monthly Churn</t>
        </is>
      </c>
    </row>
    <row r="13">
      <c r="A13" t="inlineStr">
        <is>
          <t>ARPU (월)</t>
        </is>
      </c>
      <c r="B13" s="26">
        <f>ARPU</f>
        <v/>
      </c>
      <c r="C13" t="inlineStr">
        <is>
          <t>원</t>
        </is>
      </c>
    </row>
    <row r="14">
      <c r="A14" t="inlineStr">
        <is>
          <t>Gross Margin</t>
        </is>
      </c>
      <c r="B14" s="28">
        <f>GrossMargin</f>
        <v/>
      </c>
      <c r="C14" t="inlineStr">
        <is>
          <t>%</t>
        </is>
      </c>
    </row>
    <row r="15">
      <c r="A15" t="inlineStr">
        <is>
          <t>Monthly Churn Rate</t>
        </is>
      </c>
      <c r="B15" s="28">
        <f>MonthlyChurn</f>
        <v/>
      </c>
      <c r="C15" t="inlineStr">
        <is>
          <t>%</t>
        </is>
      </c>
    </row>
    <row r="16">
      <c r="A16" s="12" t="inlineStr">
        <is>
          <t>LTV (방법 2)</t>
        </is>
      </c>
      <c r="B16" s="29">
        <f>IFERROR(ARPU*GrossMargin/MonthlyChurn, 0)</f>
        <v/>
      </c>
      <c r="C16" t="inlineStr">
        <is>
          <t>원</t>
        </is>
      </c>
    </row>
    <row r="18">
      <c r="A18" s="3" t="inlineStr">
        <is>
          <t>최종 LTV (2가지 방법 평균)</t>
        </is>
      </c>
      <c r="B18" s="30">
        <f>AVERAGE(LTV_Method1, LTV_Method2)</f>
        <v/>
      </c>
      <c r="C18" t="inlineStr">
        <is>
          <t>원</t>
        </is>
      </c>
    </row>
    <row r="20">
      <c r="A20" s="23" t="inlineStr">
        <is>
          <t>신뢰 구간 (±15%)</t>
        </is>
      </c>
    </row>
    <row r="21">
      <c r="A21" t="inlineStr">
        <is>
          <t>Lower Bound (85%)</t>
        </is>
      </c>
      <c r="B21" s="26">
        <f>LTV*0.85</f>
        <v/>
      </c>
      <c r="C21" t="inlineStr">
        <is>
          <t>원</t>
        </is>
      </c>
    </row>
    <row r="22">
      <c r="A22" t="inlineStr">
        <is>
          <t>Upper Bound (115%)</t>
        </is>
      </c>
      <c r="B22" s="26">
        <f>LTV*1.15</f>
        <v/>
      </c>
      <c r="C22" t="inlineStr">
        <is>
          <t>원</t>
        </is>
      </c>
    </row>
    <row r="24">
      <c r="A24" s="12" t="inlineStr">
        <is>
          <t>💡 해석 가이드</t>
        </is>
      </c>
    </row>
    <row r="25">
      <c r="A25" s="13" t="inlineStr">
        <is>
          <t>• LTV = 고객 1명이 생애 동안 창출하는 총 매출 (Margin 반영)</t>
        </is>
      </c>
    </row>
    <row r="26">
      <c r="A26" s="13" t="inlineStr">
        <is>
          <t>• 방법 1과 2의 평균을 사용하여 안정적인 추정</t>
        </is>
      </c>
    </row>
    <row r="27">
      <c r="A27" s="13" t="inlineStr">
        <is>
          <t>• LTV &gt; CAC × 3 이상이면 건강한 비즈니스 (다음 시트에서 확인)</t>
        </is>
      </c>
    </row>
  </sheetData>
  <mergeCells count="9">
    <mergeCell ref="A1:D1"/>
    <mergeCell ref="B5:D5"/>
    <mergeCell ref="A27:D27"/>
    <mergeCell ref="A4:D4"/>
    <mergeCell ref="A26:D26"/>
    <mergeCell ref="A25:D25"/>
    <mergeCell ref="A2:D2"/>
    <mergeCell ref="A11:D11"/>
    <mergeCell ref="B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35" customWidth="1" min="4" max="4"/>
  </cols>
  <sheetData>
    <row r="1" ht="30" customHeight="1">
      <c r="A1" s="16" t="inlineStr">
        <is>
          <t>CAC (Customer Acquisition Cost) Analysis</t>
        </is>
      </c>
    </row>
    <row r="2">
      <c r="A2" s="17" t="inlineStr">
        <is>
          <t>고객 획득 비용 = 고객 1명을 획득하는 데 드는 마케팅 비용</t>
        </is>
      </c>
    </row>
    <row r="4">
      <c r="A4" s="23" t="inlineStr">
        <is>
          <t>전체 CAC 계산</t>
        </is>
      </c>
    </row>
    <row r="5">
      <c r="A5" t="inlineStr">
        <is>
          <t>Formula:</t>
        </is>
      </c>
      <c r="B5" s="25" t="inlineStr">
        <is>
          <t>CAC = Total S&amp;M Spend / New Customers</t>
        </is>
      </c>
    </row>
    <row r="6">
      <c r="A6" t="inlineStr">
        <is>
          <t>Total S&amp;M Spend (Monthly)</t>
        </is>
      </c>
      <c r="B6" s="26">
        <f>SMSpend</f>
        <v/>
      </c>
      <c r="C6" t="inlineStr">
        <is>
          <t>원</t>
        </is>
      </c>
      <c r="D6" t="inlineStr">
        <is>
          <t>Inputs 시트에서 참조</t>
        </is>
      </c>
    </row>
    <row r="7">
      <c r="A7" t="inlineStr">
        <is>
          <t>New Customers (Monthly)</t>
        </is>
      </c>
      <c r="B7" s="26">
        <f>NewCustomers</f>
        <v/>
      </c>
      <c r="C7" t="inlineStr">
        <is>
          <t>명</t>
        </is>
      </c>
      <c r="D7" t="inlineStr">
        <is>
          <t>Inputs 시트에서 참조</t>
        </is>
      </c>
    </row>
    <row r="8">
      <c r="A8" s="12" t="inlineStr">
        <is>
          <t>CAC (전체)</t>
        </is>
      </c>
      <c r="B8" s="29">
        <f>IFERROR(SMSpend/NewCustomers, 0)</f>
        <v/>
      </c>
      <c r="C8" t="inlineStr">
        <is>
          <t>원</t>
        </is>
      </c>
    </row>
    <row r="10">
      <c r="A10" s="23" t="inlineStr">
        <is>
          <t>CAC 비교</t>
        </is>
      </c>
    </row>
    <row r="11">
      <c r="A11" t="inlineStr">
        <is>
          <t>CAC (Inputs 시트)</t>
        </is>
      </c>
      <c r="B11" s="26">
        <f>CAC</f>
        <v/>
      </c>
      <c r="C11" t="inlineStr">
        <is>
          <t>원</t>
        </is>
      </c>
      <c r="D11" t="inlineStr">
        <is>
          <t>직접 입력한 값</t>
        </is>
      </c>
    </row>
    <row r="12">
      <c r="A12" t="inlineStr">
        <is>
          <t>CAC (계산)</t>
        </is>
      </c>
      <c r="B12" s="26">
        <f>CAC_Calculated</f>
        <v/>
      </c>
      <c r="C12" t="inlineStr">
        <is>
          <t>원</t>
        </is>
      </c>
      <c r="D12" t="inlineStr">
        <is>
          <t>S&amp;M Spend로 역산</t>
        </is>
      </c>
    </row>
    <row r="13">
      <c r="A13" t="inlineStr">
        <is>
          <t>차이 (%)</t>
        </is>
      </c>
      <c r="B13" s="31">
        <f>IFERROR((CAC_Calculated-CAC)/CAC*100, 0)</f>
        <v/>
      </c>
      <c r="C13" t="inlineStr">
        <is>
          <t>%</t>
        </is>
      </c>
      <c r="D13" t="inlineStr">
        <is>
          <t>10% 이내 권장</t>
        </is>
      </c>
    </row>
    <row r="15">
      <c r="A15" s="23" t="inlineStr">
        <is>
          <t>채널별 CAC 분석</t>
        </is>
      </c>
    </row>
    <row r="16">
      <c r="A16" s="32" t="inlineStr">
        <is>
          <t>채널</t>
        </is>
      </c>
      <c r="B16" s="32" t="inlineStr">
        <is>
          <t>지출</t>
        </is>
      </c>
      <c r="C16" s="32" t="inlineStr">
        <is>
          <t>신규 고객</t>
        </is>
      </c>
      <c r="D16" s="32" t="inlineStr">
        <is>
          <t>CAC</t>
        </is>
      </c>
    </row>
    <row r="17">
      <c r="A17" s="10" t="inlineStr">
        <is>
          <t>검색 광고</t>
        </is>
      </c>
      <c r="B17" s="24" t="n">
        <v>2000000</v>
      </c>
      <c r="C17" s="24" t="n">
        <v>80</v>
      </c>
      <c r="D17" s="26">
        <f>IFERROR(B17/C17, 0)</f>
        <v/>
      </c>
    </row>
    <row r="18">
      <c r="A18" s="10" t="inlineStr">
        <is>
          <t>SNS 광고</t>
        </is>
      </c>
      <c r="B18" s="24" t="n">
        <v>1500000</v>
      </c>
      <c r="C18" s="24" t="n">
        <v>60</v>
      </c>
      <c r="D18" s="26">
        <f>IFERROR(B18/C18, 0)</f>
        <v/>
      </c>
    </row>
    <row r="19">
      <c r="A19" s="10" t="inlineStr">
        <is>
          <t>제휴 마케팅</t>
        </is>
      </c>
      <c r="B19" s="24" t="n">
        <v>1000000</v>
      </c>
      <c r="C19" s="24" t="n">
        <v>40</v>
      </c>
      <c r="D19" s="26">
        <f>IFERROR(B19/C19, 0)</f>
        <v/>
      </c>
    </row>
    <row r="20">
      <c r="A20" s="10" t="inlineStr">
        <is>
          <t>오프라인</t>
        </is>
      </c>
      <c r="B20" s="24" t="n">
        <v>500000</v>
      </c>
      <c r="C20" s="24" t="n">
        <v>20</v>
      </c>
      <c r="D20" s="26">
        <f>IFERROR(B20/C20, 0)</f>
        <v/>
      </c>
    </row>
    <row r="22">
      <c r="A22" s="23" t="inlineStr">
        <is>
          <t>업계 벤치마크 (참고)</t>
        </is>
      </c>
    </row>
    <row r="23">
      <c r="A23" s="15" t="inlineStr">
        <is>
          <t>SaaS (B2B)</t>
        </is>
      </c>
      <c r="B23" s="15" t="inlineStr">
        <is>
          <t>₩300,000 - ₩1,000,000</t>
        </is>
      </c>
    </row>
    <row r="24">
      <c r="A24" s="15" t="inlineStr">
        <is>
          <t>SaaS (SMB)</t>
        </is>
      </c>
      <c r="B24" s="15" t="inlineStr">
        <is>
          <t>₩100,000 - ₩300,000</t>
        </is>
      </c>
    </row>
    <row r="25">
      <c r="A25" s="15" t="inlineStr">
        <is>
          <t>E-commerce</t>
        </is>
      </c>
      <c r="B25" s="15" t="inlineStr">
        <is>
          <t>₩20,000 - ₩50,000</t>
        </is>
      </c>
    </row>
    <row r="26">
      <c r="A26" s="15" t="inlineStr">
        <is>
          <t>구독 서비스</t>
        </is>
      </c>
      <c r="B26" s="15" t="inlineStr">
        <is>
          <t>₩15,000 - ₩40,000</t>
        </is>
      </c>
    </row>
    <row r="28">
      <c r="A28" s="12" t="inlineStr">
        <is>
          <t>💡 해석 가이드</t>
        </is>
      </c>
    </row>
    <row r="29">
      <c r="A29" s="13" t="inlineStr">
        <is>
          <t>• CAC = 고객 1명을 획득하는 데 드는 총 마케팅 비용 (광고, 프로모션, 영업)</t>
        </is>
      </c>
    </row>
    <row r="30">
      <c r="A30" s="13" t="inlineStr">
        <is>
          <t>• CAC가 낮을수록 좋지만, 채널별로 CAC가 다를 수 있음 (검색 &lt; SNS &lt; 오프라인)</t>
        </is>
      </c>
    </row>
    <row r="31">
      <c r="A31" s="13" t="inlineStr">
        <is>
          <t>• LTV/CAC &gt; 3.0 이상이면 건강한 비즈니스 (다음 시트에서 확인)</t>
        </is>
      </c>
    </row>
  </sheetData>
  <mergeCells count="8">
    <mergeCell ref="A1:D1"/>
    <mergeCell ref="B5:D5"/>
    <mergeCell ref="A31:D31"/>
    <mergeCell ref="A4:D4"/>
    <mergeCell ref="A30:D30"/>
    <mergeCell ref="A15:D15"/>
    <mergeCell ref="A29:D29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40" customWidth="1" min="4" max="4"/>
  </cols>
  <sheetData>
    <row r="1" ht="30" customHeight="1">
      <c r="A1" s="16" t="inlineStr">
        <is>
          <t>LTV/CAC Ratio Analysis</t>
        </is>
      </c>
    </row>
    <row r="2">
      <c r="A2" s="17" t="inlineStr">
        <is>
          <t>고객 생애 가치 / 고객 획득 비용 = 사업 건강도 핵심 지표</t>
        </is>
      </c>
    </row>
    <row r="4">
      <c r="A4" s="23" t="inlineStr">
        <is>
          <t>비율 계산</t>
        </is>
      </c>
    </row>
    <row r="5">
      <c r="A5" t="inlineStr">
        <is>
          <t>LTV (Customer Lifetime Value)</t>
        </is>
      </c>
      <c r="B5" s="26">
        <f>LTV</f>
        <v/>
      </c>
      <c r="C5" t="inlineStr">
        <is>
          <t>원</t>
        </is>
      </c>
      <c r="D5" t="inlineStr">
        <is>
          <t>LTV_Calculation 시트에서 참조</t>
        </is>
      </c>
    </row>
    <row r="6">
      <c r="A6" t="inlineStr">
        <is>
          <t>CAC (Customer Acquisition Cost)</t>
        </is>
      </c>
      <c r="B6" s="26">
        <f>CAC</f>
        <v/>
      </c>
      <c r="C6" t="inlineStr">
        <is>
          <t>원</t>
        </is>
      </c>
      <c r="D6" t="inlineStr">
        <is>
          <t>Inputs 시트에서 참조</t>
        </is>
      </c>
    </row>
    <row r="7">
      <c r="A7" s="3" t="inlineStr">
        <is>
          <t>LTV/CAC Ratio</t>
        </is>
      </c>
      <c r="B7" s="33">
        <f>IFERROR(LTV/CAC, 0)</f>
        <v/>
      </c>
      <c r="C7" t="inlineStr">
        <is>
          <t>배</t>
        </is>
      </c>
    </row>
    <row r="8">
      <c r="A8" s="12" t="inlineStr">
        <is>
          <t>평가</t>
        </is>
      </c>
      <c r="B8" s="12">
        <f>IF(LTV_CAC_Ratio&gt;=5, "우수 (Excellent)", IF(LTV_CAC_Ratio&gt;=3, "양호 (Good)", IF(LTV_CAC_Ratio&gt;=1.5, "주의 (Warning)", "위험 (Poor)")))</f>
        <v/>
      </c>
    </row>
    <row r="10">
      <c r="A10" s="23" t="inlineStr">
        <is>
          <t>업계 벤치마크</t>
        </is>
      </c>
    </row>
    <row r="11">
      <c r="A11" s="32" t="inlineStr">
        <is>
          <t>등급</t>
        </is>
      </c>
      <c r="B11" s="32" t="inlineStr">
        <is>
          <t>비율</t>
        </is>
      </c>
      <c r="C11" s="32" t="inlineStr">
        <is>
          <t>평가</t>
        </is>
      </c>
    </row>
    <row r="12">
      <c r="A12" s="34" t="inlineStr">
        <is>
          <t>Excellent (우수)</t>
        </is>
      </c>
      <c r="B12" s="35" t="inlineStr">
        <is>
          <t>&gt; 5.0</t>
        </is>
      </c>
      <c r="C12" s="13" t="inlineStr">
        <is>
          <t>매우 건강한 비즈니스</t>
        </is>
      </c>
    </row>
    <row r="13">
      <c r="A13" s="36" t="inlineStr">
        <is>
          <t>Good (양호)</t>
        </is>
      </c>
      <c r="B13" s="35" t="inlineStr">
        <is>
          <t>3.0 - 5.0</t>
        </is>
      </c>
      <c r="C13" s="13" t="inlineStr">
        <is>
          <t>건강한 비즈니스 (목표)</t>
        </is>
      </c>
    </row>
    <row r="14">
      <c r="A14" s="37" t="inlineStr">
        <is>
          <t>Warning (주의)</t>
        </is>
      </c>
      <c r="B14" s="35" t="inlineStr">
        <is>
          <t>1.5 - 3.0</t>
        </is>
      </c>
      <c r="C14" s="13" t="inlineStr">
        <is>
          <t>개선 필요</t>
        </is>
      </c>
    </row>
    <row r="15">
      <c r="A15" s="38" t="inlineStr">
        <is>
          <t>Poor (위험)</t>
        </is>
      </c>
      <c r="B15" s="35" t="inlineStr">
        <is>
          <t>&lt; 1.5</t>
        </is>
      </c>
      <c r="C15" s="13" t="inlineStr">
        <is>
          <t>비즈니스 모델 재검토</t>
        </is>
      </c>
    </row>
    <row r="17">
      <c r="A17" s="23" t="inlineStr">
        <is>
          <t>💡 개선 권장사항</t>
        </is>
      </c>
    </row>
    <row r="18">
      <c r="A18" s="39" t="inlineStr">
        <is>
          <t>LTV/CAC &lt; 3.0 인 경우:</t>
        </is>
      </c>
    </row>
    <row r="19">
      <c r="A19" s="13" t="inlineStr">
        <is>
          <t>1. LTV 개선: Churn 감소, ARPU 증가, Upsell/Cross-sell</t>
        </is>
      </c>
    </row>
    <row r="20">
      <c r="A20" s="13" t="inlineStr">
        <is>
          <t>2. CAC 감소: 마케팅 효율화, 채널 최적화, 바이럴 강화</t>
        </is>
      </c>
    </row>
    <row r="21">
      <c r="A21" s="13" t="inlineStr">
        <is>
          <t>3. Gross Margin 개선: 원가 절감, 가격 인상</t>
        </is>
      </c>
    </row>
    <row r="22">
      <c r="A22" s="13" t="inlineStr">
        <is>
          <t>4. 비즈니스 모델 재검토: 타겟 고객, 가치 제안 점검</t>
        </is>
      </c>
    </row>
    <row r="24">
      <c r="A24" s="12" t="inlineStr">
        <is>
          <t>📊 해석 가이드</t>
        </is>
      </c>
    </row>
    <row r="25">
      <c r="A25" s="13" t="inlineStr">
        <is>
          <t>• LTV/CAC = 고객에게서 얻는 가치 / 획득에 드는 비용</t>
        </is>
      </c>
    </row>
    <row r="26">
      <c r="A26" s="13" t="inlineStr">
        <is>
          <t>• 3.0 이상: 고객 1명당 획득 비용의 3배 이상 수익</t>
        </is>
      </c>
    </row>
    <row r="27">
      <c r="A27" s="13" t="inlineStr">
        <is>
          <t>• 비율만으로는 부족 → Payback Period도 함께 확인 (다음 시트)</t>
        </is>
      </c>
    </row>
  </sheetData>
  <mergeCells count="18">
    <mergeCell ref="A1:D1"/>
    <mergeCell ref="C12:D12"/>
    <mergeCell ref="A18:D18"/>
    <mergeCell ref="A27:D27"/>
    <mergeCell ref="A22:D22"/>
    <mergeCell ref="C15:D15"/>
    <mergeCell ref="A4:D4"/>
    <mergeCell ref="B8:D8"/>
    <mergeCell ref="C11:D11"/>
    <mergeCell ref="A20:D20"/>
    <mergeCell ref="A21:D21"/>
    <mergeCell ref="A26:D26"/>
    <mergeCell ref="C14:D14"/>
    <mergeCell ref="A25:D25"/>
    <mergeCell ref="C13:D13"/>
    <mergeCell ref="A2:D2"/>
    <mergeCell ref="A19:D19"/>
    <mergeCell ref="A10:D10"/>
  </mergeCells>
  <conditionalFormatting sqref="B7">
    <cfRule type="expression" priority="1" dxfId="4" stopIfTrue="1">
      <formula>B7&gt;=5</formula>
    </cfRule>
    <cfRule type="expression" priority="2" dxfId="5" stopIfTrue="1">
      <formula>AND(B7&gt;=3, B7&lt;5)</formula>
    </cfRule>
    <cfRule type="expression" priority="3" dxfId="6" stopIfTrue="1">
      <formula>AND(B7&gt;=1.5, B7&lt;3)</formula>
    </cfRule>
    <cfRule type="expression" priority="4" dxfId="7" stopIfTrue="1">
      <formula>B7&lt;1.5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8" customWidth="1" min="4" max="4"/>
    <col width="30" customWidth="1" min="5" max="5"/>
  </cols>
  <sheetData>
    <row r="1" ht="30" customHeight="1">
      <c r="A1" s="16" t="inlineStr">
        <is>
          <t>CAC Payback Period Analysis</t>
        </is>
      </c>
    </row>
    <row r="2">
      <c r="A2" s="17" t="inlineStr">
        <is>
          <t>고객 획득 비용(CAC)을 회수하는 데 걸리는 시간</t>
        </is>
      </c>
    </row>
    <row r="4">
      <c r="A4" s="23" t="inlineStr">
        <is>
          <t>Payback Period 계산</t>
        </is>
      </c>
    </row>
    <row r="5">
      <c r="A5" t="inlineStr">
        <is>
          <t>Formula:</t>
        </is>
      </c>
      <c r="B5" s="25" t="inlineStr">
        <is>
          <t>Payback = CAC / (ARPU × Gross Margin)</t>
        </is>
      </c>
    </row>
    <row r="6">
      <c r="A6" t="inlineStr">
        <is>
          <t>CAC (Customer Acquisition Cost)</t>
        </is>
      </c>
      <c r="B6" s="26">
        <f>CAC</f>
        <v/>
      </c>
      <c r="C6" t="inlineStr">
        <is>
          <t>원</t>
        </is>
      </c>
    </row>
    <row r="7">
      <c r="A7" t="inlineStr">
        <is>
          <t>ARPU (월)</t>
        </is>
      </c>
      <c r="B7" s="26">
        <f>ARPU</f>
        <v/>
      </c>
      <c r="C7" t="inlineStr">
        <is>
          <t>원</t>
        </is>
      </c>
    </row>
    <row r="8">
      <c r="A8" t="inlineStr">
        <is>
          <t>Gross Margin</t>
        </is>
      </c>
      <c r="B8" s="28">
        <f>GrossMargin</f>
        <v/>
      </c>
      <c r="C8" t="inlineStr">
        <is>
          <t>%</t>
        </is>
      </c>
    </row>
    <row r="9">
      <c r="A9" t="inlineStr">
        <is>
          <t>월별 Contribution Margin</t>
        </is>
      </c>
      <c r="B9" s="26">
        <f>ARPU*GrossMargin</f>
        <v/>
      </c>
      <c r="C9" t="inlineStr">
        <is>
          <t>원/월</t>
        </is>
      </c>
      <c r="D9" t="inlineStr">
        <is>
          <t>고객 1명이 매월 창출하는 순수익</t>
        </is>
      </c>
    </row>
    <row r="10">
      <c r="A10" s="3" t="inlineStr">
        <is>
          <t>Payback Period</t>
        </is>
      </c>
      <c r="B10" s="40">
        <f>IFERROR(CAC/(ARPU*GrossMargin), 0)</f>
        <v/>
      </c>
      <c r="C10" t="inlineStr">
        <is>
          <t>개월</t>
        </is>
      </c>
    </row>
    <row r="11">
      <c r="A11" s="12" t="inlineStr">
        <is>
          <t>평가</t>
        </is>
      </c>
      <c r="B11" s="12">
        <f>IF(PaybackPeriod&lt;=6, "우수 (&lt; 6개월)", IF(PaybackPeriod&lt;=12, "양호 (&lt; 12개월)", IF(PaybackPeriod&lt;=18, "주의 (&lt; 18개월)", "위험 (&gt; 18개월)")))</f>
        <v/>
      </c>
    </row>
    <row r="13">
      <c r="A13" s="23" t="inlineStr">
        <is>
          <t>월별 Cash Flow Timeline</t>
        </is>
      </c>
    </row>
    <row r="14">
      <c r="A14" s="32" t="inlineStr">
        <is>
          <t>Month</t>
        </is>
      </c>
      <c r="B14" s="32" t="inlineStr">
        <is>
          <t>Monthly CF</t>
        </is>
      </c>
      <c r="C14" s="32" t="inlineStr">
        <is>
          <t>Cumulative CF</t>
        </is>
      </c>
      <c r="D14" s="32" t="inlineStr">
        <is>
          <t>Status</t>
        </is>
      </c>
    </row>
    <row r="15">
      <c r="A15" s="41" t="n">
        <v>0</v>
      </c>
      <c r="B15" s="26">
        <f>-CAC</f>
        <v/>
      </c>
      <c r="C15" s="26">
        <f>-CAC</f>
        <v/>
      </c>
      <c r="D15" t="inlineStr">
        <is>
          <t>고객 획득 (CAC 지출)</t>
        </is>
      </c>
    </row>
    <row r="16">
      <c r="A16" s="41" t="n">
        <v>1</v>
      </c>
      <c r="B16" s="26">
        <f>ARPU*GrossMargin</f>
        <v/>
      </c>
      <c r="C16" s="26">
        <f>C15+B16</f>
        <v/>
      </c>
      <c r="D16">
        <f>IF(C16&gt;=0, "✅ Payback 완료", "진행 중")</f>
        <v/>
      </c>
    </row>
    <row r="17">
      <c r="A17" s="41" t="n">
        <v>2</v>
      </c>
      <c r="B17" s="26">
        <f>ARPU*GrossMargin</f>
        <v/>
      </c>
      <c r="C17" s="26">
        <f>C16+B17</f>
        <v/>
      </c>
      <c r="D17">
        <f>IF(C17&gt;=0, "✅ Payback 완료", "진행 중")</f>
        <v/>
      </c>
    </row>
    <row r="18">
      <c r="A18" s="41" t="n">
        <v>3</v>
      </c>
      <c r="B18" s="26">
        <f>ARPU*GrossMargin</f>
        <v/>
      </c>
      <c r="C18" s="26">
        <f>C17+B18</f>
        <v/>
      </c>
      <c r="D18">
        <f>IF(C18&gt;=0, "✅ Payback 완료", "진행 중")</f>
        <v/>
      </c>
    </row>
    <row r="19">
      <c r="A19" s="41" t="n">
        <v>4</v>
      </c>
      <c r="B19" s="26">
        <f>ARPU*GrossMargin</f>
        <v/>
      </c>
      <c r="C19" s="26">
        <f>C18+B19</f>
        <v/>
      </c>
      <c r="D19">
        <f>IF(C19&gt;=0, "✅ Payback 완료", "진행 중")</f>
        <v/>
      </c>
    </row>
    <row r="20">
      <c r="A20" s="41" t="n">
        <v>5</v>
      </c>
      <c r="B20" s="26">
        <f>ARPU*GrossMargin</f>
        <v/>
      </c>
      <c r="C20" s="26">
        <f>C19+B20</f>
        <v/>
      </c>
      <c r="D20">
        <f>IF(C20&gt;=0, "✅ Payback 완료", "진행 중")</f>
        <v/>
      </c>
    </row>
    <row r="21">
      <c r="A21" s="41" t="n">
        <v>6</v>
      </c>
      <c r="B21" s="26">
        <f>ARPU*GrossMargin</f>
        <v/>
      </c>
      <c r="C21" s="26">
        <f>C20+B21</f>
        <v/>
      </c>
      <c r="D21">
        <f>IF(C21&gt;=0, "✅ Payback 완료", "진행 중")</f>
        <v/>
      </c>
    </row>
    <row r="22">
      <c r="A22" s="41" t="n">
        <v>7</v>
      </c>
      <c r="B22" s="26">
        <f>ARPU*GrossMargin</f>
        <v/>
      </c>
      <c r="C22" s="26">
        <f>C21+B22</f>
        <v/>
      </c>
      <c r="D22">
        <f>IF(C22&gt;=0, "✅ Payback 완료", "진행 중")</f>
        <v/>
      </c>
    </row>
    <row r="23">
      <c r="A23" s="41" t="n">
        <v>8</v>
      </c>
      <c r="B23" s="26">
        <f>ARPU*GrossMargin</f>
        <v/>
      </c>
      <c r="C23" s="26">
        <f>C22+B23</f>
        <v/>
      </c>
      <c r="D23">
        <f>IF(C23&gt;=0, "✅ Payback 완료", "진행 중")</f>
        <v/>
      </c>
    </row>
    <row r="24">
      <c r="A24" s="41" t="n">
        <v>9</v>
      </c>
      <c r="B24" s="26">
        <f>ARPU*GrossMargin</f>
        <v/>
      </c>
      <c r="C24" s="26">
        <f>C23+B24</f>
        <v/>
      </c>
      <c r="D24">
        <f>IF(C24&gt;=0, "✅ Payback 완료", "진행 중")</f>
        <v/>
      </c>
    </row>
    <row r="25">
      <c r="A25" s="41" t="n">
        <v>10</v>
      </c>
      <c r="B25" s="26">
        <f>ARPU*GrossMargin</f>
        <v/>
      </c>
      <c r="C25" s="26">
        <f>C24+B25</f>
        <v/>
      </c>
      <c r="D25">
        <f>IF(C25&gt;=0, "✅ Payback 완료", "진행 중")</f>
        <v/>
      </c>
    </row>
    <row r="26">
      <c r="A26" s="41" t="n">
        <v>11</v>
      </c>
      <c r="B26" s="26">
        <f>ARPU*GrossMargin</f>
        <v/>
      </c>
      <c r="C26" s="26">
        <f>C25+B26</f>
        <v/>
      </c>
      <c r="D26">
        <f>IF(C26&gt;=0, "✅ Payback 완료", "진행 중")</f>
        <v/>
      </c>
    </row>
    <row r="27">
      <c r="A27" s="41" t="n">
        <v>12</v>
      </c>
      <c r="B27" s="26">
        <f>ARPU*GrossMargin</f>
        <v/>
      </c>
      <c r="C27" s="26">
        <f>C26+B27</f>
        <v/>
      </c>
      <c r="D27">
        <f>IF(C27&gt;=0, "✅ Payback 완료", "진행 중")</f>
        <v/>
      </c>
    </row>
    <row r="28">
      <c r="A28" s="41" t="n">
        <v>13</v>
      </c>
      <c r="B28" s="26">
        <f>ARPU*GrossMargin</f>
        <v/>
      </c>
      <c r="C28" s="26">
        <f>C27+B28</f>
        <v/>
      </c>
      <c r="D28">
        <f>IF(C28&gt;=0, "✅ Payback 완료", "진행 중")</f>
        <v/>
      </c>
    </row>
    <row r="29">
      <c r="A29" s="41" t="n">
        <v>14</v>
      </c>
      <c r="B29" s="26">
        <f>ARPU*GrossMargin</f>
        <v/>
      </c>
      <c r="C29" s="26">
        <f>C28+B29</f>
        <v/>
      </c>
      <c r="D29">
        <f>IF(C29&gt;=0, "✅ Payback 완료", "진행 중")</f>
        <v/>
      </c>
    </row>
    <row r="30">
      <c r="A30" s="41" t="n">
        <v>15</v>
      </c>
      <c r="B30" s="26">
        <f>ARPU*GrossMargin</f>
        <v/>
      </c>
      <c r="C30" s="26">
        <f>C29+B30</f>
        <v/>
      </c>
      <c r="D30">
        <f>IF(C30&gt;=0, "✅ Payback 완료", "진행 중")</f>
        <v/>
      </c>
    </row>
    <row r="31">
      <c r="A31" s="41" t="n">
        <v>16</v>
      </c>
      <c r="B31" s="26">
        <f>ARPU*GrossMargin</f>
        <v/>
      </c>
      <c r="C31" s="26">
        <f>C30+B31</f>
        <v/>
      </c>
      <c r="D31">
        <f>IF(C31&gt;=0, "✅ Payback 완료", "진행 중")</f>
        <v/>
      </c>
    </row>
    <row r="32">
      <c r="A32" s="41" t="n">
        <v>17</v>
      </c>
      <c r="B32" s="26">
        <f>ARPU*GrossMargin</f>
        <v/>
      </c>
      <c r="C32" s="26">
        <f>C31+B32</f>
        <v/>
      </c>
      <c r="D32">
        <f>IF(C32&gt;=0, "✅ Payback 완료", "진행 중")</f>
        <v/>
      </c>
    </row>
    <row r="33">
      <c r="A33" s="41" t="n">
        <v>18</v>
      </c>
      <c r="B33" s="26">
        <f>ARPU*GrossMargin</f>
        <v/>
      </c>
      <c r="C33" s="26">
        <f>C32+B33</f>
        <v/>
      </c>
      <c r="D33">
        <f>IF(C33&gt;=0, "✅ Payback 완료", "진행 중")</f>
        <v/>
      </c>
    </row>
    <row r="34">
      <c r="A34" s="41" t="n">
        <v>19</v>
      </c>
      <c r="B34" s="26">
        <f>ARPU*GrossMargin</f>
        <v/>
      </c>
      <c r="C34" s="26">
        <f>C33+B34</f>
        <v/>
      </c>
      <c r="D34">
        <f>IF(C34&gt;=0, "✅ Payback 완료", "진행 중")</f>
        <v/>
      </c>
    </row>
    <row r="35">
      <c r="A35" s="41" t="n">
        <v>20</v>
      </c>
      <c r="B35" s="26">
        <f>ARPU*GrossMargin</f>
        <v/>
      </c>
      <c r="C35" s="26">
        <f>C34+B35</f>
        <v/>
      </c>
      <c r="D35">
        <f>IF(C35&gt;=0, "✅ Payback 완료", "진행 중")</f>
        <v/>
      </c>
    </row>
    <row r="36">
      <c r="A36" s="41" t="n">
        <v>21</v>
      </c>
      <c r="B36" s="26">
        <f>ARPU*GrossMargin</f>
        <v/>
      </c>
      <c r="C36" s="26">
        <f>C35+B36</f>
        <v/>
      </c>
      <c r="D36">
        <f>IF(C36&gt;=0, "✅ Payback 완료", "진행 중")</f>
        <v/>
      </c>
    </row>
    <row r="37">
      <c r="A37" s="41" t="n">
        <v>22</v>
      </c>
      <c r="B37" s="26">
        <f>ARPU*GrossMargin</f>
        <v/>
      </c>
      <c r="C37" s="26">
        <f>C36+B37</f>
        <v/>
      </c>
      <c r="D37">
        <f>IF(C37&gt;=0, "✅ Payback 완료", "진행 중")</f>
        <v/>
      </c>
    </row>
    <row r="38">
      <c r="A38" s="41" t="n">
        <v>23</v>
      </c>
      <c r="B38" s="26">
        <f>ARPU*GrossMargin</f>
        <v/>
      </c>
      <c r="C38" s="26">
        <f>C37+B38</f>
        <v/>
      </c>
      <c r="D38">
        <f>IF(C38&gt;=0, "✅ Payback 완료", "진행 중")</f>
        <v/>
      </c>
    </row>
    <row r="39">
      <c r="A39" s="41" t="n">
        <v>24</v>
      </c>
      <c r="B39" s="26">
        <f>ARPU*GrossMargin</f>
        <v/>
      </c>
      <c r="C39" s="26">
        <f>C38+B39</f>
        <v/>
      </c>
      <c r="D39">
        <f>IF(C39&gt;=0, "✅ Payback 완료", "진행 중")</f>
        <v/>
      </c>
    </row>
    <row r="41">
      <c r="A41" s="23" t="inlineStr">
        <is>
          <t>업계 벤치마크</t>
        </is>
      </c>
    </row>
    <row r="42">
      <c r="A42" s="34" t="inlineStr">
        <is>
          <t>Best-in-Class</t>
        </is>
      </c>
      <c r="B42" s="13" t="inlineStr">
        <is>
          <t>&lt; 6개월</t>
        </is>
      </c>
    </row>
    <row r="43">
      <c r="A43" s="36" t="inlineStr">
        <is>
          <t>Good (목표)</t>
        </is>
      </c>
      <c r="B43" s="13" t="inlineStr">
        <is>
          <t>&lt; 12개월</t>
        </is>
      </c>
    </row>
    <row r="44">
      <c r="A44" s="37" t="inlineStr">
        <is>
          <t>Acceptable</t>
        </is>
      </c>
      <c r="B44" s="13" t="inlineStr">
        <is>
          <t>12-18개월</t>
        </is>
      </c>
    </row>
    <row r="45">
      <c r="A45" s="38" t="inlineStr">
        <is>
          <t>Poor</t>
        </is>
      </c>
      <c r="B45" s="13" t="inlineStr">
        <is>
          <t>&gt; 18개월</t>
        </is>
      </c>
    </row>
    <row r="47">
      <c r="A47" s="12" t="inlineStr">
        <is>
          <t>💡 해석 가이드</t>
        </is>
      </c>
    </row>
    <row r="48">
      <c r="A48" s="13" t="inlineStr">
        <is>
          <t>• Payback Period = CAC를 회수하는 데 걸리는 시간</t>
        </is>
      </c>
    </row>
    <row r="49">
      <c r="A49" s="13" t="inlineStr">
        <is>
          <t>• 짧을수록 좋음: 빠른 회수 = 현금 흐름 개선</t>
        </is>
      </c>
    </row>
    <row r="50">
      <c r="A50" s="13" t="inlineStr">
        <is>
          <t>• LTV/CAC와 함께 평가: 높은 비율 + 짧은 Payback = 이상적</t>
        </is>
      </c>
    </row>
  </sheetData>
  <mergeCells count="10">
    <mergeCell ref="B11:D11"/>
    <mergeCell ref="A50:E50"/>
    <mergeCell ref="A4:E4"/>
    <mergeCell ref="A48:E48"/>
    <mergeCell ref="A2:E2"/>
    <mergeCell ref="A49:E49"/>
    <mergeCell ref="A1:E1"/>
    <mergeCell ref="B5:E5"/>
    <mergeCell ref="A13:E13"/>
    <mergeCell ref="D9:E9"/>
  </mergeCells>
  <conditionalFormatting sqref="B10">
    <cfRule type="expression" priority="1" dxfId="8" stopIfTrue="1">
      <formula>B10&lt;=6</formula>
    </cfRule>
    <cfRule type="expression" priority="2" dxfId="9" stopIfTrue="1">
      <formula>AND(B10&gt;6, B10&lt;=12)</formula>
    </cfRule>
    <cfRule type="expression" priority="3" dxfId="10" stopIfTrue="1">
      <formula>AND(B10&gt;12, B10&lt;=18)</formula>
    </cfRule>
    <cfRule type="expression" priority="4" dxfId="11" stopIfTrue="1">
      <formula>B10&gt;18</formula>
    </cfRule>
  </conditionalFormatting>
  <conditionalFormatting sqref="C16">
    <cfRule type="expression" priority="5" dxfId="12" stopIfTrue="1">
      <formula>C16&gt;=0</formula>
    </cfRule>
  </conditionalFormatting>
  <conditionalFormatting sqref="C17">
    <cfRule type="expression" priority="6" dxfId="12" stopIfTrue="1">
      <formula>C17&gt;=0</formula>
    </cfRule>
  </conditionalFormatting>
  <conditionalFormatting sqref="C18">
    <cfRule type="expression" priority="7" dxfId="12" stopIfTrue="1">
      <formula>C18&gt;=0</formula>
    </cfRule>
  </conditionalFormatting>
  <conditionalFormatting sqref="C19">
    <cfRule type="expression" priority="8" dxfId="12" stopIfTrue="1">
      <formula>C19&gt;=0</formula>
    </cfRule>
  </conditionalFormatting>
  <conditionalFormatting sqref="C20">
    <cfRule type="expression" priority="9" dxfId="12" stopIfTrue="1">
      <formula>C20&gt;=0</formula>
    </cfRule>
  </conditionalFormatting>
  <conditionalFormatting sqref="C21">
    <cfRule type="expression" priority="10" dxfId="12" stopIfTrue="1">
      <formula>C21&gt;=0</formula>
    </cfRule>
  </conditionalFormatting>
  <conditionalFormatting sqref="C22">
    <cfRule type="expression" priority="11" dxfId="12" stopIfTrue="1">
      <formula>C22&gt;=0</formula>
    </cfRule>
  </conditionalFormatting>
  <conditionalFormatting sqref="C23">
    <cfRule type="expression" priority="12" dxfId="12" stopIfTrue="1">
      <formula>C23&gt;=0</formula>
    </cfRule>
  </conditionalFormatting>
  <conditionalFormatting sqref="C24">
    <cfRule type="expression" priority="13" dxfId="12" stopIfTrue="1">
      <formula>C24&gt;=0</formula>
    </cfRule>
  </conditionalFormatting>
  <conditionalFormatting sqref="C25">
    <cfRule type="expression" priority="14" dxfId="12" stopIfTrue="1">
      <formula>C25&gt;=0</formula>
    </cfRule>
  </conditionalFormatting>
  <conditionalFormatting sqref="C26">
    <cfRule type="expression" priority="15" dxfId="12" stopIfTrue="1">
      <formula>C26&gt;=0</formula>
    </cfRule>
  </conditionalFormatting>
  <conditionalFormatting sqref="C27">
    <cfRule type="expression" priority="16" dxfId="12" stopIfTrue="1">
      <formula>C27&gt;=0</formula>
    </cfRule>
  </conditionalFormatting>
  <conditionalFormatting sqref="C28">
    <cfRule type="expression" priority="17" dxfId="12" stopIfTrue="1">
      <formula>C28&gt;=0</formula>
    </cfRule>
  </conditionalFormatting>
  <conditionalFormatting sqref="C29">
    <cfRule type="expression" priority="18" dxfId="12" stopIfTrue="1">
      <formula>C29&gt;=0</formula>
    </cfRule>
  </conditionalFormatting>
  <conditionalFormatting sqref="C30">
    <cfRule type="expression" priority="19" dxfId="12" stopIfTrue="1">
      <formula>C30&gt;=0</formula>
    </cfRule>
  </conditionalFormatting>
  <conditionalFormatting sqref="C31">
    <cfRule type="expression" priority="20" dxfId="12" stopIfTrue="1">
      <formula>C31&gt;=0</formula>
    </cfRule>
  </conditionalFormatting>
  <conditionalFormatting sqref="C32">
    <cfRule type="expression" priority="21" dxfId="12" stopIfTrue="1">
      <formula>C32&gt;=0</formula>
    </cfRule>
  </conditionalFormatting>
  <conditionalFormatting sqref="C33">
    <cfRule type="expression" priority="22" dxfId="12" stopIfTrue="1">
      <formula>C33&gt;=0</formula>
    </cfRule>
  </conditionalFormatting>
  <conditionalFormatting sqref="C34">
    <cfRule type="expression" priority="23" dxfId="12" stopIfTrue="1">
      <formula>C34&gt;=0</formula>
    </cfRule>
  </conditionalFormatting>
  <conditionalFormatting sqref="C35">
    <cfRule type="expression" priority="24" dxfId="12" stopIfTrue="1">
      <formula>C35&gt;=0</formula>
    </cfRule>
  </conditionalFormatting>
  <conditionalFormatting sqref="C36">
    <cfRule type="expression" priority="25" dxfId="12" stopIfTrue="1">
      <formula>C36&gt;=0</formula>
    </cfRule>
  </conditionalFormatting>
  <conditionalFormatting sqref="C37">
    <cfRule type="expression" priority="26" dxfId="12" stopIfTrue="1">
      <formula>C37&gt;=0</formula>
    </cfRule>
  </conditionalFormatting>
  <conditionalFormatting sqref="C38">
    <cfRule type="expression" priority="27" dxfId="12" stopIfTrue="1">
      <formula>C38&gt;=0</formula>
    </cfRule>
  </conditionalFormatting>
  <conditionalFormatting sqref="C39">
    <cfRule type="expression" priority="28" dxfId="12" stopIfTrue="1">
      <formula>C39&gt;=0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6" t="inlineStr">
        <is>
          <t>Sensitivity Analysis</t>
        </is>
      </c>
    </row>
    <row r="2">
      <c r="A2" s="17" t="inlineStr">
        <is>
          <t>핵심 변수의 변화가 LTV/CAC 비율에 미치는 영향</t>
        </is>
      </c>
    </row>
    <row r="4">
      <c r="A4" s="23" t="inlineStr">
        <is>
          <t>1. 단일 변수 민감도 (±20%)</t>
        </is>
      </c>
    </row>
    <row r="5">
      <c r="A5" s="42" t="inlineStr">
        <is>
          <t>Variable</t>
        </is>
      </c>
      <c r="B5" s="42" t="inlineStr">
        <is>
          <t>-20%</t>
        </is>
      </c>
      <c r="C5" s="42" t="inlineStr">
        <is>
          <t>-10%</t>
        </is>
      </c>
      <c r="D5" s="42" t="inlineStr">
        <is>
          <t>Base</t>
        </is>
      </c>
      <c r="E5" s="42" t="inlineStr">
        <is>
          <t>+10%</t>
        </is>
      </c>
      <c r="F5" s="42" t="inlineStr">
        <is>
          <t>+20%</t>
        </is>
      </c>
    </row>
    <row r="6">
      <c r="A6" s="10" t="inlineStr">
        <is>
          <t>ARPU (Revenue Impact)</t>
        </is>
      </c>
      <c r="B6" s="43">
        <f>IFERROR((ARPU*0.8*CustomerLifetime*GrossMargin)/CAC, 0)</f>
        <v/>
      </c>
      <c r="C6" s="43">
        <f>IFERROR((ARPU*0.9*CustomerLifetime*GrossMargin)/CAC, 0)</f>
        <v/>
      </c>
      <c r="D6" s="44">
        <f>LTV_CAC_Ratio</f>
        <v/>
      </c>
      <c r="E6" s="43">
        <f>IFERROR((ARPU*1.1*CustomerLifetime*GrossMargin)/CAC, 0)</f>
        <v/>
      </c>
      <c r="F6" s="43">
        <f>IFERROR((ARPU*1.2*CustomerLifetime*GrossMargin)/CAC, 0)</f>
        <v/>
      </c>
    </row>
    <row r="7">
      <c r="A7" s="10" t="inlineStr">
        <is>
          <t>CAC (Cost Impact)</t>
        </is>
      </c>
      <c r="B7" s="43">
        <f>IFERROR(LTV/(CAC*1.2), 0)</f>
        <v/>
      </c>
      <c r="C7" s="43">
        <f>IFERROR(LTV/(CAC*1.1), 0)</f>
        <v/>
      </c>
      <c r="D7" s="44">
        <f>LTV_CAC_Ratio</f>
        <v/>
      </c>
      <c r="E7" s="43">
        <f>IFERROR(LTV/(CAC*0.9), 0)</f>
        <v/>
      </c>
      <c r="F7" s="43">
        <f>IFERROR(LTV/(CAC*0.8), 0)</f>
        <v/>
      </c>
    </row>
    <row r="8">
      <c r="A8" s="10" t="inlineStr">
        <is>
          <t>Churn (Retention Impact)</t>
        </is>
      </c>
      <c r="B8" s="43">
        <f>IFERROR((ARPU*GrossMargin/(MonthlyChurn*1.2))/CAC, 0)</f>
        <v/>
      </c>
      <c r="C8" s="43">
        <f>IFERROR((ARPU*GrossMargin/(MonthlyChurn*1.1))/CAC, 0)</f>
        <v/>
      </c>
      <c r="D8" s="44">
        <f>LTV_CAC_Ratio</f>
        <v/>
      </c>
      <c r="E8" s="43">
        <f>IFERROR((ARPU*GrossMargin/(MonthlyChurn*0.9))/CAC, 0)</f>
        <v/>
      </c>
      <c r="F8" s="43">
        <f>IFERROR((ARPU*GrossMargin/(MonthlyChurn*0.8))/CAC, 0)</f>
        <v/>
      </c>
    </row>
    <row r="9">
      <c r="A9" s="10" t="inlineStr">
        <is>
          <t>Gross Margin</t>
        </is>
      </c>
      <c r="B9" s="43">
        <f>IFERROR((ARPU*CustomerLifetime*GrossMargin*0.8)/CAC, 0)</f>
        <v/>
      </c>
      <c r="C9" s="43">
        <f>IFERROR((ARPU*CustomerLifetime*GrossMargin*0.9)/CAC, 0)</f>
        <v/>
      </c>
      <c r="D9" s="44">
        <f>LTV_CAC_Ratio</f>
        <v/>
      </c>
      <c r="E9" s="43">
        <f>IFERROR((ARPU*CustomerLifetime*GrossMargin*1.1)/CAC, 0)</f>
        <v/>
      </c>
      <c r="F9" s="43">
        <f>IFERROR((ARPU*CustomerLifetime*GrossMargin*1.2)/CAC, 0)</f>
        <v/>
      </c>
    </row>
    <row r="11">
      <c r="A11" s="23" t="inlineStr">
        <is>
          <t>2. 2-Way Sensitivity Matrix: ARPU × Churn</t>
        </is>
      </c>
    </row>
    <row r="12">
      <c r="A12" s="45" t="inlineStr">
        <is>
          <t>Churn → / ARPU ↓</t>
        </is>
      </c>
      <c r="B12" s="46" t="inlineStr">
        <is>
          <t>-20%</t>
        </is>
      </c>
      <c r="C12" s="46" t="inlineStr">
        <is>
          <t>-10%</t>
        </is>
      </c>
      <c r="D12" s="46" t="inlineStr">
        <is>
          <t>Base</t>
        </is>
      </c>
      <c r="E12" s="46" t="inlineStr">
        <is>
          <t>+10%</t>
        </is>
      </c>
      <c r="F12" s="46" t="inlineStr">
        <is>
          <t>+20%</t>
        </is>
      </c>
    </row>
    <row r="13">
      <c r="A13" s="46" t="inlineStr">
        <is>
          <t>-20%</t>
        </is>
      </c>
      <c r="B13" s="47">
        <f>IFERROR((ARPU*0.8*GrossMargin/(MonthlyChurn*0.8))/CAC, 0)</f>
        <v/>
      </c>
      <c r="C13" s="47">
        <f>IFERROR((ARPU*0.9*GrossMargin/(MonthlyChurn*0.8))/CAC, 0)</f>
        <v/>
      </c>
      <c r="D13" s="47">
        <f>IFERROR((ARPU*1.0*GrossMargin/(MonthlyChurn*0.8))/CAC, 0)</f>
        <v/>
      </c>
      <c r="E13" s="47">
        <f>IFERROR((ARPU*1.1*GrossMargin/(MonthlyChurn*0.8))/CAC, 0)</f>
        <v/>
      </c>
      <c r="F13" s="47">
        <f>IFERROR((ARPU*1.2*GrossMargin/(MonthlyChurn*0.8))/CAC, 0)</f>
        <v/>
      </c>
    </row>
    <row r="14">
      <c r="A14" s="46" t="inlineStr">
        <is>
          <t>-10%</t>
        </is>
      </c>
      <c r="B14" s="47">
        <f>IFERROR((ARPU*0.8*GrossMargin/(MonthlyChurn*0.9))/CAC, 0)</f>
        <v/>
      </c>
      <c r="C14" s="47">
        <f>IFERROR((ARPU*0.9*GrossMargin/(MonthlyChurn*0.9))/CAC, 0)</f>
        <v/>
      </c>
      <c r="D14" s="47">
        <f>IFERROR((ARPU*1.0*GrossMargin/(MonthlyChurn*0.9))/CAC, 0)</f>
        <v/>
      </c>
      <c r="E14" s="47">
        <f>IFERROR((ARPU*1.1*GrossMargin/(MonthlyChurn*0.9))/CAC, 0)</f>
        <v/>
      </c>
      <c r="F14" s="47">
        <f>IFERROR((ARPU*1.2*GrossMargin/(MonthlyChurn*0.9))/CAC, 0)</f>
        <v/>
      </c>
    </row>
    <row r="15">
      <c r="A15" s="46" t="inlineStr">
        <is>
          <t>Base</t>
        </is>
      </c>
      <c r="B15" s="47">
        <f>IFERROR((ARPU*0.8*GrossMargin/(MonthlyChurn*1.0))/CAC, 0)</f>
        <v/>
      </c>
      <c r="C15" s="47">
        <f>IFERROR((ARPU*0.9*GrossMargin/(MonthlyChurn*1.0))/CAC, 0)</f>
        <v/>
      </c>
      <c r="D15" s="48">
        <f>IFERROR((ARPU*1.0*GrossMargin/(MonthlyChurn*1.0))/CAC, 0)</f>
        <v/>
      </c>
      <c r="E15" s="47">
        <f>IFERROR((ARPU*1.1*GrossMargin/(MonthlyChurn*1.0))/CAC, 0)</f>
        <v/>
      </c>
      <c r="F15" s="47">
        <f>IFERROR((ARPU*1.2*GrossMargin/(MonthlyChurn*1.0))/CAC, 0)</f>
        <v/>
      </c>
    </row>
    <row r="16">
      <c r="A16" s="46" t="inlineStr">
        <is>
          <t>+10%</t>
        </is>
      </c>
      <c r="B16" s="47">
        <f>IFERROR((ARPU*0.8*GrossMargin/(MonthlyChurn*1.1))/CAC, 0)</f>
        <v/>
      </c>
      <c r="C16" s="47">
        <f>IFERROR((ARPU*0.9*GrossMargin/(MonthlyChurn*1.1))/CAC, 0)</f>
        <v/>
      </c>
      <c r="D16" s="47">
        <f>IFERROR((ARPU*1.0*GrossMargin/(MonthlyChurn*1.1))/CAC, 0)</f>
        <v/>
      </c>
      <c r="E16" s="47">
        <f>IFERROR((ARPU*1.1*GrossMargin/(MonthlyChurn*1.1))/CAC, 0)</f>
        <v/>
      </c>
      <c r="F16" s="47">
        <f>IFERROR((ARPU*1.2*GrossMargin/(MonthlyChurn*1.1))/CAC, 0)</f>
        <v/>
      </c>
    </row>
    <row r="17">
      <c r="A17" s="46" t="inlineStr">
        <is>
          <t>+20%</t>
        </is>
      </c>
      <c r="B17" s="47">
        <f>IFERROR((ARPU*0.8*GrossMargin/(MonthlyChurn*1.2))/CAC, 0)</f>
        <v/>
      </c>
      <c r="C17" s="47">
        <f>IFERROR((ARPU*0.9*GrossMargin/(MonthlyChurn*1.2))/CAC, 0)</f>
        <v/>
      </c>
      <c r="D17" s="47">
        <f>IFERROR((ARPU*1.0*GrossMargin/(MonthlyChurn*1.2))/CAC, 0)</f>
        <v/>
      </c>
      <c r="E17" s="47">
        <f>IFERROR((ARPU*1.1*GrossMargin/(MonthlyChurn*1.2))/CAC, 0)</f>
        <v/>
      </c>
      <c r="F17" s="47">
        <f>IFERROR((ARPU*1.2*GrossMargin/(MonthlyChurn*1.2))/CAC, 0)</f>
        <v/>
      </c>
    </row>
    <row r="19">
      <c r="A19" s="23" t="inlineStr">
        <is>
          <t>3. 영향도 순위 (Impact Ranking)</t>
        </is>
      </c>
    </row>
    <row r="20">
      <c r="A20" s="32" t="inlineStr">
        <is>
          <t>Variable</t>
        </is>
      </c>
      <c r="B20" s="32" t="inlineStr">
        <is>
          <t>Change</t>
        </is>
      </c>
      <c r="C20" s="32" t="inlineStr">
        <is>
          <t>LTV/CAC Impact</t>
        </is>
      </c>
      <c r="E20" s="32" t="inlineStr">
        <is>
          <t>% Change</t>
        </is>
      </c>
    </row>
    <row r="21">
      <c r="A21" s="10" t="inlineStr">
        <is>
          <t>ARPU</t>
        </is>
      </c>
      <c r="B21" s="41" t="inlineStr">
        <is>
          <t>+20%</t>
        </is>
      </c>
      <c r="C21" s="43">
        <f>IFERROR((ARPU*1.2*CustomerLifetime*GrossMargin)/CAC, 0)</f>
        <v/>
      </c>
      <c r="E21" s="31">
        <f>IFERROR((C21-LTV_CAC_Ratio)/LTV_CAC_Ratio*100, 0)</f>
        <v/>
      </c>
    </row>
    <row r="22">
      <c r="A22" s="10" t="inlineStr">
        <is>
          <t>CAC</t>
        </is>
      </c>
      <c r="B22" s="41" t="inlineStr">
        <is>
          <t>+20%</t>
        </is>
      </c>
      <c r="C22" s="43">
        <f>IFERROR(LTV/(CAC*1.2), 0)</f>
        <v/>
      </c>
      <c r="E22" s="31">
        <f>IFERROR((C22-LTV_CAC_Ratio)/LTV_CAC_Ratio*100, 0)</f>
        <v/>
      </c>
    </row>
    <row r="23">
      <c r="A23" s="10" t="inlineStr">
        <is>
          <t>Churn</t>
        </is>
      </c>
      <c r="B23" s="41" t="inlineStr">
        <is>
          <t>+20%</t>
        </is>
      </c>
      <c r="C23" s="43">
        <f>IFERROR((ARPU*GrossMargin/(MonthlyChurn*1.2))/CAC, 0)</f>
        <v/>
      </c>
      <c r="E23" s="31">
        <f>IFERROR((C23-LTV_CAC_Ratio)/LTV_CAC_Ratio*100, 0)</f>
        <v/>
      </c>
    </row>
    <row r="24">
      <c r="A24" s="10" t="inlineStr">
        <is>
          <t>Gross Margin</t>
        </is>
      </c>
      <c r="B24" s="41" t="inlineStr">
        <is>
          <t>+20%</t>
        </is>
      </c>
      <c r="C24" s="43">
        <f>IFERROR((ARPU*CustomerLifetime*GrossMargin*1.2)/CAC, 0)</f>
        <v/>
      </c>
      <c r="E24" s="31">
        <f>IFERROR((C24-LTV_CAC_Ratio)/LTV_CAC_Ratio*100, 0)</f>
        <v/>
      </c>
    </row>
    <row r="26">
      <c r="A26" s="12" t="inlineStr">
        <is>
          <t>💡 해석 가이드</t>
        </is>
      </c>
    </row>
    <row r="27">
      <c r="A27" s="13" t="inlineStr">
        <is>
          <t>• % Change가 큰 변수 = 가장 중요한 변수 (집중 관리 필요)</t>
        </is>
      </c>
    </row>
    <row r="28">
      <c r="A28" s="13" t="inlineStr">
        <is>
          <t>• 일반적으로 ARPU와 Churn이 가장 큰 영향 (각 20%)</t>
        </is>
      </c>
    </row>
    <row r="29">
      <c r="A29" s="13" t="inlineStr">
        <is>
          <t>• 2-Way Matrix에서 최악/최선 시나리오 확인 가능</t>
        </is>
      </c>
    </row>
  </sheetData>
  <mergeCells count="13">
    <mergeCell ref="A2:F2"/>
    <mergeCell ref="A11:F11"/>
    <mergeCell ref="C20:D20"/>
    <mergeCell ref="A28:F28"/>
    <mergeCell ref="C21:D21"/>
    <mergeCell ref="C24:D24"/>
    <mergeCell ref="A19:F19"/>
    <mergeCell ref="A1:F1"/>
    <mergeCell ref="A27:F27"/>
    <mergeCell ref="C22:D22"/>
    <mergeCell ref="A4:F4"/>
    <mergeCell ref="C23:D23"/>
    <mergeCell ref="A29:F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6" t="inlineStr">
        <is>
          <t>Unit Economics Scenarios</t>
        </is>
      </c>
    </row>
    <row r="2">
      <c r="A2" s="17" t="inlineStr">
        <is>
          <t>보수적/기본/낙관적 시나리오별 Unit Economics 비교</t>
        </is>
      </c>
    </row>
    <row r="4">
      <c r="A4" s="42" t="inlineStr">
        <is>
          <t>Metric</t>
        </is>
      </c>
      <c r="B4" s="42" t="inlineStr">
        <is>
          <t>Conservative</t>
        </is>
      </c>
      <c r="C4" s="42" t="inlineStr">
        <is>
          <t>Base</t>
        </is>
      </c>
      <c r="D4" s="42" t="inlineStr">
        <is>
          <t>Optimistic</t>
        </is>
      </c>
      <c r="E4" s="42" t="inlineStr">
        <is>
          <t>Range</t>
        </is>
      </c>
    </row>
    <row r="5">
      <c r="A5" s="23" t="inlineStr">
        <is>
          <t>Input Variables</t>
        </is>
      </c>
    </row>
    <row r="6">
      <c r="A6" t="inlineStr">
        <is>
          <t>ARPU (월)</t>
        </is>
      </c>
      <c r="B6" s="26">
        <f>ARPU*0.85</f>
        <v/>
      </c>
      <c r="C6" s="49">
        <f>ARPU</f>
        <v/>
      </c>
      <c r="D6" s="26">
        <f>ARPU*1.15</f>
        <v/>
      </c>
      <c r="E6" s="26">
        <f>D6-B6</f>
        <v/>
      </c>
    </row>
    <row r="7">
      <c r="A7" t="inlineStr">
        <is>
          <t>CAC</t>
        </is>
      </c>
      <c r="B7" s="26">
        <f>CAC*1.15</f>
        <v/>
      </c>
      <c r="C7" s="49">
        <f>CAC</f>
        <v/>
      </c>
      <c r="D7" s="26">
        <f>CAC*0.85</f>
        <v/>
      </c>
      <c r="E7" s="26">
        <f>B7-D7</f>
        <v/>
      </c>
    </row>
    <row r="8">
      <c r="A8" t="inlineStr">
        <is>
          <t>Monthly Churn</t>
        </is>
      </c>
      <c r="B8" s="28">
        <f>MonthlyChurn*1.15</f>
        <v/>
      </c>
      <c r="C8" s="50">
        <f>MonthlyChurn</f>
        <v/>
      </c>
      <c r="D8" s="28">
        <f>MonthlyChurn*0.85</f>
        <v/>
      </c>
      <c r="E8" s="28">
        <f>B8-D8</f>
        <v/>
      </c>
    </row>
    <row r="9">
      <c r="A9" t="inlineStr">
        <is>
          <t>Gross Margin</t>
        </is>
      </c>
      <c r="B9" s="28">
        <f>GrossMargin*0.9</f>
        <v/>
      </c>
      <c r="C9" s="50">
        <f>GrossMargin</f>
        <v/>
      </c>
      <c r="D9" s="28">
        <f>GrossMargin*1.1</f>
        <v/>
      </c>
      <c r="E9" s="28">
        <f>D9-B9</f>
        <v/>
      </c>
    </row>
    <row r="11">
      <c r="A11" s="23" t="inlineStr">
        <is>
          <t>Resulting Metrics</t>
        </is>
      </c>
    </row>
    <row r="12">
      <c r="A12" s="12" t="inlineStr">
        <is>
          <t>LTV</t>
        </is>
      </c>
      <c r="B12" s="26">
        <f>B7*CustomerLifetime*B10</f>
        <v/>
      </c>
      <c r="C12" s="51">
        <f>LTV</f>
        <v/>
      </c>
      <c r="D12" s="26">
        <f>D7*CustomerLifetime*D10</f>
        <v/>
      </c>
      <c r="E12" s="26">
        <f>D12-B12</f>
        <v/>
      </c>
    </row>
    <row r="13">
      <c r="A13" s="12" t="inlineStr">
        <is>
          <t>LTV/CAC Ratio</t>
        </is>
      </c>
      <c r="B13" s="43">
        <f>B12/B9</f>
        <v/>
      </c>
      <c r="C13" s="52">
        <f>LTV_CAC_Ratio</f>
        <v/>
      </c>
      <c r="D13" s="43">
        <f>D12/D9</f>
        <v/>
      </c>
      <c r="E13" s="43">
        <f>D13-B13</f>
        <v/>
      </c>
    </row>
    <row r="14">
      <c r="A14" s="12" t="inlineStr">
        <is>
          <t>Payback Period</t>
        </is>
      </c>
      <c r="B14" s="53">
        <f>B9/(B7*B10)</f>
        <v/>
      </c>
      <c r="C14" s="54">
        <f>PaybackPeriod</f>
        <v/>
      </c>
      <c r="D14" s="53">
        <f>D9/(D7*D10)</f>
        <v/>
      </c>
      <c r="E14" s="53">
        <f>B14-D14</f>
        <v/>
      </c>
    </row>
    <row r="16">
      <c r="A16" s="23" t="inlineStr">
        <is>
          <t>Scenario Evaluation</t>
        </is>
      </c>
    </row>
    <row r="17">
      <c r="A17" t="inlineStr">
        <is>
          <t>Conservative 달성 가능?</t>
        </is>
      </c>
      <c r="B17" s="12">
        <f>IF(B14&gt;=3, "✅ Yes", "❌ No")</f>
        <v/>
      </c>
    </row>
    <row r="18">
      <c r="A18" t="inlineStr">
        <is>
          <t>Optimistic 목표치</t>
        </is>
      </c>
      <c r="B18" s="12">
        <f>IF(D14&gt;=5, "✅ Excellent", "Good")</f>
        <v/>
      </c>
    </row>
    <row r="20">
      <c r="A20" s="12" t="inlineStr">
        <is>
          <t>💡 해석 가이드</t>
        </is>
      </c>
    </row>
    <row r="21">
      <c r="A21" s="13" t="inlineStr">
        <is>
          <t>• Conservative: ARPU -15%, CAC +15%, Churn +15% (최악)</t>
        </is>
      </c>
    </row>
    <row r="22">
      <c r="A22" s="13" t="inlineStr">
        <is>
          <t>• Base: 현재 가정 유지</t>
        </is>
      </c>
    </row>
    <row r="23">
      <c r="A23" s="13" t="inlineStr">
        <is>
          <t>• Optimistic: ARPU +15%, CAC -15%, Churn -15% (최선)</t>
        </is>
      </c>
    </row>
    <row r="24">
      <c r="A24" s="13" t="inlineStr">
        <is>
          <t>• Conservative에서도 LTV/CAC &gt; 3.0이면 안정적인 비즈니스 모델</t>
        </is>
      </c>
    </row>
  </sheetData>
  <mergeCells count="11">
    <mergeCell ref="A21:E21"/>
    <mergeCell ref="A24:E24"/>
    <mergeCell ref="A2:E2"/>
    <mergeCell ref="A16:E16"/>
    <mergeCell ref="A11:E11"/>
    <mergeCell ref="A1:E1"/>
    <mergeCell ref="A5:E5"/>
    <mergeCell ref="A23:E23"/>
    <mergeCell ref="B17:C17"/>
    <mergeCell ref="B18:C18"/>
    <mergeCell ref="A22:E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5" customWidth="1" min="5" max="5"/>
  </cols>
  <sheetData>
    <row r="1" ht="30" customHeight="1">
      <c r="A1" s="16" t="inlineStr">
        <is>
          <t>Cohort LTV Tracking</t>
        </is>
      </c>
    </row>
    <row r="2">
      <c r="A2" s="17" t="inlineStr">
        <is>
          <t>월별 코호트의 LTV 변화 추적 (개선 추세 확인)</t>
        </is>
      </c>
    </row>
    <row r="4">
      <c r="A4" s="42" t="inlineStr">
        <is>
          <t>Cohort</t>
        </is>
      </c>
      <c r="B4" s="42" t="inlineStr">
        <is>
          <t>Cohort LTV</t>
        </is>
      </c>
      <c r="C4" s="42" t="inlineStr">
        <is>
          <t>vs Baseline</t>
        </is>
      </c>
      <c r="D4" s="42" t="inlineStr">
        <is>
          <t>Improvement</t>
        </is>
      </c>
      <c r="E4" s="42" t="inlineStr">
        <is>
          <t>Note</t>
        </is>
      </c>
    </row>
    <row r="5">
      <c r="A5" s="12" t="inlineStr">
        <is>
          <t>2024-01 (Baseline)</t>
        </is>
      </c>
      <c r="B5" s="51">
        <f>LTV</f>
        <v/>
      </c>
      <c r="C5" s="55" t="n">
        <v>0</v>
      </c>
      <c r="D5" s="41" t="inlineStr">
        <is>
          <t>0%</t>
        </is>
      </c>
      <c r="E5" s="56" t="inlineStr">
        <is>
          <t>기준 코호트</t>
        </is>
      </c>
    </row>
    <row r="6">
      <c r="A6" s="10" t="inlineStr">
        <is>
          <t>2024-02</t>
        </is>
      </c>
      <c r="B6" s="24" t="n"/>
      <c r="C6" s="26">
        <f>IFERROR(B6-B$5, 0)</f>
        <v/>
      </c>
      <c r="D6" s="31">
        <f>IFERROR(C6/B$5*100, 0)</f>
        <v/>
      </c>
      <c r="E6" s="13">
        <f>IF(D6&gt;=20, "✅ 목표 달성 (20%+)", IF(D6&gt;=10, "양호 (10%+)", "개선 필요"))</f>
        <v/>
      </c>
    </row>
    <row r="7">
      <c r="A7" s="10" t="inlineStr">
        <is>
          <t>2024-03</t>
        </is>
      </c>
      <c r="B7" s="24" t="n"/>
      <c r="C7" s="26">
        <f>IFERROR(B7-B$5, 0)</f>
        <v/>
      </c>
      <c r="D7" s="31">
        <f>IFERROR(C7/B$5*100, 0)</f>
        <v/>
      </c>
      <c r="E7" s="13">
        <f>IF(D7&gt;=20, "✅ 목표 달성 (20%+)", IF(D7&gt;=10, "양호 (10%+)", "개선 필요"))</f>
        <v/>
      </c>
    </row>
    <row r="8">
      <c r="A8" s="10" t="inlineStr">
        <is>
          <t>2024-04</t>
        </is>
      </c>
      <c r="B8" s="24" t="n"/>
      <c r="C8" s="26">
        <f>IFERROR(B8-B$5, 0)</f>
        <v/>
      </c>
      <c r="D8" s="31">
        <f>IFERROR(C8/B$5*100, 0)</f>
        <v/>
      </c>
      <c r="E8" s="13">
        <f>IF(D8&gt;=20, "✅ 목표 달성 (20%+)", IF(D8&gt;=10, "양호 (10%+)", "개선 필요"))</f>
        <v/>
      </c>
    </row>
    <row r="9">
      <c r="A9" s="10" t="inlineStr">
        <is>
          <t>2024-05</t>
        </is>
      </c>
      <c r="B9" s="24" t="n"/>
      <c r="C9" s="26">
        <f>IFERROR(B9-B$5, 0)</f>
        <v/>
      </c>
      <c r="D9" s="31">
        <f>IFERROR(C9/B$5*100, 0)</f>
        <v/>
      </c>
      <c r="E9" s="13">
        <f>IF(D9&gt;=20, "✅ 목표 달성 (20%+)", IF(D9&gt;=10, "양호 (10%+)", "개선 필요"))</f>
        <v/>
      </c>
    </row>
    <row r="10">
      <c r="A10" s="10" t="inlineStr">
        <is>
          <t>2024-06</t>
        </is>
      </c>
      <c r="B10" s="24" t="n"/>
      <c r="C10" s="26">
        <f>IFERROR(B10-B$5, 0)</f>
        <v/>
      </c>
      <c r="D10" s="31">
        <f>IFERROR(C10/B$5*100, 0)</f>
        <v/>
      </c>
      <c r="E10" s="13">
        <f>IF(D10&gt;=20, "✅ 목표 달성 (20%+)", IF(D10&gt;=10, "양호 (10%+)", "개선 필요"))</f>
        <v/>
      </c>
    </row>
    <row r="11">
      <c r="A11" s="10" t="inlineStr">
        <is>
          <t>2024-07</t>
        </is>
      </c>
      <c r="B11" s="24" t="n"/>
      <c r="C11" s="26">
        <f>IFERROR(B11-B$5, 0)</f>
        <v/>
      </c>
      <c r="D11" s="31">
        <f>IFERROR(C11/B$5*100, 0)</f>
        <v/>
      </c>
      <c r="E11" s="13">
        <f>IF(D11&gt;=20, "✅ 목표 달성 (20%+)", IF(D11&gt;=10, "양호 (10%+)", "개선 필요"))</f>
        <v/>
      </c>
    </row>
    <row r="12">
      <c r="A12" s="10" t="inlineStr">
        <is>
          <t>2024-08</t>
        </is>
      </c>
      <c r="B12" s="24" t="n"/>
      <c r="C12" s="26">
        <f>IFERROR(B12-B$5, 0)</f>
        <v/>
      </c>
      <c r="D12" s="31">
        <f>IFERROR(C12/B$5*100, 0)</f>
        <v/>
      </c>
      <c r="E12" s="13">
        <f>IF(D12&gt;=20, "✅ 목표 달성 (20%+)", IF(D12&gt;=10, "양호 (10%+)", "개선 필요"))</f>
        <v/>
      </c>
    </row>
    <row r="13">
      <c r="A13" s="10" t="inlineStr">
        <is>
          <t>2024-09</t>
        </is>
      </c>
      <c r="B13" s="24" t="n"/>
      <c r="C13" s="26">
        <f>IFERROR(B13-B$5, 0)</f>
        <v/>
      </c>
      <c r="D13" s="31">
        <f>IFERROR(C13/B$5*100, 0)</f>
        <v/>
      </c>
      <c r="E13" s="13">
        <f>IF(D13&gt;=20, "✅ 목표 달성 (20%+)", IF(D13&gt;=10, "양호 (10%+)", "개선 필요"))</f>
        <v/>
      </c>
    </row>
    <row r="14">
      <c r="A14" s="10" t="inlineStr">
        <is>
          <t>2024-10</t>
        </is>
      </c>
      <c r="B14" s="24" t="n"/>
      <c r="C14" s="26">
        <f>IFERROR(B14-B$5, 0)</f>
        <v/>
      </c>
      <c r="D14" s="31">
        <f>IFERROR(C14/B$5*100, 0)</f>
        <v/>
      </c>
      <c r="E14" s="13">
        <f>IF(D14&gt;=20, "✅ 목표 달성 (20%+)", IF(D14&gt;=10, "양호 (10%+)", "개선 필요"))</f>
        <v/>
      </c>
    </row>
    <row r="15">
      <c r="A15" s="10" t="inlineStr">
        <is>
          <t>2024-11</t>
        </is>
      </c>
      <c r="B15" s="24" t="n"/>
      <c r="C15" s="26">
        <f>IFERROR(B15-B$5, 0)</f>
        <v/>
      </c>
      <c r="D15" s="31">
        <f>IFERROR(C15/B$5*100, 0)</f>
        <v/>
      </c>
      <c r="E15" s="13">
        <f>IF(D15&gt;=20, "✅ 목표 달성 (20%+)", IF(D15&gt;=10, "양호 (10%+)", "개선 필요"))</f>
        <v/>
      </c>
    </row>
    <row r="16">
      <c r="A16" s="10" t="inlineStr">
        <is>
          <t>2024-12</t>
        </is>
      </c>
      <c r="B16" s="24" t="n"/>
      <c r="C16" s="26">
        <f>IFERROR(B16-B$5, 0)</f>
        <v/>
      </c>
      <c r="D16" s="31">
        <f>IFERROR(C16/B$5*100, 0)</f>
        <v/>
      </c>
      <c r="E16" s="13">
        <f>IF(D16&gt;=20, "✅ 목표 달성 (20%+)", IF(D16&gt;=10, "양호 (10%+)", "개선 필요"))</f>
        <v/>
      </c>
    </row>
    <row r="17">
      <c r="A17" s="12" t="inlineStr">
        <is>
          <t>평균 Improvement</t>
        </is>
      </c>
      <c r="D17" s="57">
        <f>AVERAGE(D6:D16)</f>
        <v/>
      </c>
    </row>
    <row r="19">
      <c r="A19" s="23" t="inlineStr">
        <is>
          <t>Cohort Improvement 목표</t>
        </is>
      </c>
    </row>
    <row r="20">
      <c r="A20" s="13" t="inlineStr">
        <is>
          <t>• 각 코호트 10-20% 개선 목표</t>
        </is>
      </c>
    </row>
    <row r="21">
      <c r="A21" s="13" t="inlineStr">
        <is>
          <t>• 개선 방법: Onboarding 최적화, Feature 개선, Churn 예방</t>
        </is>
      </c>
    </row>
    <row r="22">
      <c r="A22" s="13" t="inlineStr">
        <is>
          <t>• 실제 코호트 데이터를 B열에 입력하여 추적</t>
        </is>
      </c>
    </row>
  </sheetData>
  <mergeCells count="5">
    <mergeCell ref="A21:E21"/>
    <mergeCell ref="A20:E20"/>
    <mergeCell ref="A2:E2"/>
    <mergeCell ref="A1:E1"/>
    <mergeCell ref="A22:E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30" customWidth="1" min="5" max="5"/>
  </cols>
  <sheetData>
    <row r="1" ht="30" customHeight="1">
      <c r="A1" s="16" t="inlineStr">
        <is>
          <t>Industry Benchmark Comparison</t>
        </is>
      </c>
    </row>
    <row r="2">
      <c r="A2" s="17" t="inlineStr">
        <is>
          <t>우리 Unit Economics vs 업계 벤치마크</t>
        </is>
      </c>
    </row>
    <row r="4">
      <c r="A4" s="42" t="inlineStr">
        <is>
          <t>Metric</t>
        </is>
      </c>
      <c r="B4" s="42" t="inlineStr">
        <is>
          <t>Our Value</t>
        </is>
      </c>
      <c r="C4" s="42" t="inlineStr">
        <is>
          <t>Industry Avg</t>
        </is>
      </c>
      <c r="D4" s="42" t="inlineStr">
        <is>
          <t>Gap</t>
        </is>
      </c>
      <c r="E4" s="42" t="inlineStr">
        <is>
          <t>Assessment</t>
        </is>
      </c>
    </row>
    <row r="5">
      <c r="A5" s="12" t="inlineStr">
        <is>
          <t>LTV/CAC Ratio</t>
        </is>
      </c>
      <c r="B5" s="58">
        <f>LTV_CAC_Ratio</f>
        <v/>
      </c>
      <c r="C5" s="43" t="n">
        <v>3.2</v>
      </c>
      <c r="D5" s="43">
        <f>B5-C5</f>
        <v/>
      </c>
      <c r="E5" s="13">
        <f>IF(D5&gt;0, "우리가 높음 ✅", "개선 필요")</f>
        <v/>
      </c>
    </row>
    <row r="6">
      <c r="A6" s="12" t="inlineStr">
        <is>
          <t>CAC Payback (months)</t>
        </is>
      </c>
      <c r="B6" s="59">
        <f>PaybackPeriod</f>
        <v/>
      </c>
      <c r="C6" s="53" t="n">
        <v>8</v>
      </c>
      <c r="D6" s="53">
        <f>B6-C6</f>
        <v/>
      </c>
      <c r="E6" s="13">
        <f>IF(D6&lt;0, "우리가 빠름 ✅", "개선 필요")</f>
        <v/>
      </c>
    </row>
    <row r="7">
      <c r="A7" s="12" t="inlineStr">
        <is>
          <t>Monthly Churn Rate</t>
        </is>
      </c>
      <c r="B7" s="50">
        <f>MonthlyChurn</f>
        <v/>
      </c>
      <c r="C7" s="28" t="n">
        <v>0.04</v>
      </c>
      <c r="D7" s="28">
        <f>B7-C7</f>
        <v/>
      </c>
      <c r="E7" s="13">
        <f>IF(D7&lt;0, "우리가 낮음 ✅", "개선 필요")</f>
        <v/>
      </c>
    </row>
    <row r="8">
      <c r="A8" s="12" t="inlineStr">
        <is>
          <t>Gross Margin</t>
        </is>
      </c>
      <c r="B8" s="50">
        <f>GrossMargin</f>
        <v/>
      </c>
      <c r="C8" s="28" t="n">
        <v>0.35</v>
      </c>
      <c r="D8" s="28">
        <f>B8-C8</f>
        <v/>
      </c>
      <c r="E8" s="13">
        <f>IF(D8&gt;0, "우리가 높음 ✅", "개선 필요")</f>
        <v/>
      </c>
    </row>
    <row r="10">
      <c r="A10" s="23" t="inlineStr">
        <is>
          <t>종합 평가</t>
        </is>
      </c>
    </row>
    <row r="11">
      <c r="A11" s="10" t="inlineStr">
        <is>
          <t>우리 경쟁력:</t>
        </is>
      </c>
      <c r="B11" s="12">
        <f>COUNTIF(E7:E10, "*✅*")&amp;"/"&amp;4&amp;" 지표 우수"</f>
        <v/>
      </c>
    </row>
    <row r="12">
      <c r="A12" s="10" t="inlineStr">
        <is>
          <t>포지셔닝:</t>
        </is>
      </c>
      <c r="B12" s="12">
        <f>IF(COUNTIF(E7:E10, "*✅*")&gt;=3, "업계 평균 이상 (경쟁력 우수)", IF(COUNTIF(E7:E10, "*✅*")&gt;=2, "업계 평균 수준", "개선 필요"))</f>
        <v/>
      </c>
    </row>
    <row r="14">
      <c r="A14" s="23" t="inlineStr">
        <is>
          <t>업계별 벤치마크 (참고)</t>
        </is>
      </c>
    </row>
    <row r="15">
      <c r="A15" s="32" t="inlineStr">
        <is>
          <t>Industry</t>
        </is>
      </c>
      <c r="B15" s="32" t="inlineStr">
        <is>
          <t>LTV/CAC</t>
        </is>
      </c>
      <c r="C15" s="32" t="inlineStr">
        <is>
          <t>Payback</t>
        </is>
      </c>
      <c r="D15" s="32" t="inlineStr">
        <is>
          <t>Churn</t>
        </is>
      </c>
      <c r="E15" s="32" t="inlineStr">
        <is>
          <t>Margin</t>
        </is>
      </c>
    </row>
    <row r="16">
      <c r="A16" s="13" t="inlineStr">
        <is>
          <t>SaaS (Enterprise)</t>
        </is>
      </c>
      <c r="B16" s="60" t="n">
        <v>5</v>
      </c>
      <c r="C16" s="61" t="n">
        <v>12</v>
      </c>
      <c r="D16" s="62" t="n">
        <v>0.02</v>
      </c>
      <c r="E16" s="62" t="n">
        <v>0.8</v>
      </c>
    </row>
    <row r="17">
      <c r="A17" s="13" t="inlineStr">
        <is>
          <t>SaaS (SMB)</t>
        </is>
      </c>
      <c r="B17" s="60" t="n">
        <v>3</v>
      </c>
      <c r="C17" s="61" t="n">
        <v>8</v>
      </c>
      <c r="D17" s="62" t="n">
        <v>0.05</v>
      </c>
      <c r="E17" s="62" t="n">
        <v>0.75</v>
      </c>
    </row>
    <row r="18">
      <c r="A18" s="13" t="inlineStr">
        <is>
          <t>E-commerce</t>
        </is>
      </c>
      <c r="B18" s="60" t="n">
        <v>2.5</v>
      </c>
      <c r="C18" s="61" t="n">
        <v>6</v>
      </c>
      <c r="D18" s="62" t="n">
        <v>0.1</v>
      </c>
      <c r="E18" s="62" t="n">
        <v>0.3</v>
      </c>
    </row>
    <row r="19">
      <c r="A19" s="13" t="inlineStr">
        <is>
          <t>구독 서비스</t>
        </is>
      </c>
      <c r="B19" s="60" t="n">
        <v>3.5</v>
      </c>
      <c r="C19" s="61" t="n">
        <v>9</v>
      </c>
      <c r="D19" s="62" t="n">
        <v>0.04</v>
      </c>
      <c r="E19" s="62" t="n">
        <v>0.5</v>
      </c>
    </row>
    <row r="20">
      <c r="A20" s="13" t="inlineStr">
        <is>
          <t>OTT/스트리밍</t>
        </is>
      </c>
      <c r="B20" s="60" t="n">
        <v>3.2</v>
      </c>
      <c r="C20" s="61" t="n">
        <v>8</v>
      </c>
      <c r="D20" s="62" t="n">
        <v>0.04</v>
      </c>
      <c r="E20" s="62" t="n">
        <v>0.35</v>
      </c>
    </row>
    <row r="22">
      <c r="A22" s="12" t="inlineStr">
        <is>
          <t>💡 해석 가이드</t>
        </is>
      </c>
    </row>
    <row r="23">
      <c r="A23" s="13" t="inlineStr">
        <is>
          <t>• Gap &gt; 0: 우리가 업계 평균보다 우수</t>
        </is>
      </c>
    </row>
    <row r="24">
      <c r="A24" s="13" t="inlineStr">
        <is>
          <t>• 4개 지표 중 3개 이상 우수: 경쟁력 우수</t>
        </is>
      </c>
    </row>
    <row r="25">
      <c r="A25" s="13" t="inlineStr">
        <is>
          <t>• Churn, Payback은 낮을수록 좋음 (음수 Gap이 좋음)</t>
        </is>
      </c>
    </row>
  </sheetData>
  <mergeCells count="9">
    <mergeCell ref="B11:D11"/>
    <mergeCell ref="A24:E24"/>
    <mergeCell ref="A2:E2"/>
    <mergeCell ref="A10:E10"/>
    <mergeCell ref="A25:E25"/>
    <mergeCell ref="A1:E1"/>
    <mergeCell ref="A23:E23"/>
    <mergeCell ref="A14:E14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2025-11-04T06:37:32Z</dcterms:created>
  <dcterms:modified xmlns:dcterms="http://purl.org/dc/terms/" xmlns:xsi="http://www.w3.org/2001/XMLSchema-instance" xsi:type="dcterms:W3CDTF">2025-11-04T06:37:32Z</dcterms:modified>
</cp:coreProperties>
</file>