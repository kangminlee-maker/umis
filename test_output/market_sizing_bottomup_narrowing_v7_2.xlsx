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Method_2_BottomUp" sheetId="2" state="visible" r:id="rId2"/>
  </sheets>
  <definedNames>
    <definedName name="TOTAL_POPULATION">'Assumptions'!$B$2</definedName>
    <definedName name="FILTER_KOREA">'Assumptions'!$B$3</definedName>
    <definedName name="FILTER_PIANO">'Assumptions'!$B$4</definedName>
    <definedName name="PURCHASE_RATE_EST">'Assumptions'!$B$5</definedName>
    <definedName name="AOV_EST">'Assumptions'!$B$6</definedName>
    <definedName name="FREQUENCY_EST">'Assumptions'!$B$7</definedName>
    <definedName name="M2_Seg1_SAM">'Method_2_BottomUp'!$H$5</definedName>
    <definedName name="SAM_Method2">'Method_2_BottomUp'!$F$7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10"/>
    </font>
    <font>
      <b val="1"/>
      <color rgb="00FFFFFF"/>
    </font>
    <font>
      <b val="1"/>
    </font>
    <font>
      <sz val="9"/>
    </font>
    <font>
      <i val="1"/>
      <sz val="9"/>
    </font>
    <font>
      <b val="1"/>
      <color rgb="00FFFFFF"/>
      <sz val="11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3F2FD"/>
        <bgColor rgb="00E3F2FD"/>
      </patternFill>
    </fill>
    <fill>
      <patternFill patternType="solid">
        <fgColor rgb="00E7E6E6"/>
        <bgColor rgb="00E7E6E6"/>
      </patternFill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3" fontId="0" fillId="0" borderId="0" pivotButton="0" quotePrefix="0" xfId="0"/>
    <xf numFmtId="0" fontId="5" fillId="0" borderId="0" pivotButton="0" quotePrefix="0" xfId="0"/>
    <xf numFmtId="3" fontId="0" fillId="3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4" borderId="0" pivotButton="0" quotePrefix="0" xfId="0"/>
    <xf numFmtId="0" fontId="6" fillId="0" borderId="0" pivotButton="0" quotePrefix="0" xfId="0"/>
    <xf numFmtId="0" fontId="7" fillId="5" borderId="0" pivotButton="0" quotePrefix="0" xfId="0"/>
    <xf numFmtId="3" fontId="8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Value</t>
        </is>
      </c>
    </row>
    <row r="2">
      <c r="A2" t="inlineStr">
        <is>
          <t>TOTAL_POPULATION</t>
        </is>
      </c>
      <c r="B2" t="n">
        <v>5000000</v>
      </c>
    </row>
    <row r="3">
      <c r="A3" t="inlineStr">
        <is>
          <t>FILTER_KOREA</t>
        </is>
      </c>
      <c r="B3" t="n">
        <v>0.15</v>
      </c>
    </row>
    <row r="4">
      <c r="A4" t="inlineStr">
        <is>
          <t>FILTER_PIANO</t>
        </is>
      </c>
      <c r="B4" t="n">
        <v>0.25</v>
      </c>
    </row>
    <row r="5">
      <c r="A5" t="inlineStr">
        <is>
          <t>PURCHASE_RATE_EST</t>
        </is>
      </c>
      <c r="B5" t="n">
        <v>0.15</v>
      </c>
    </row>
    <row r="6">
      <c r="A6" t="inlineStr">
        <is>
          <t>AOV_EST</t>
        </is>
      </c>
      <c r="B6" t="n">
        <v>50000</v>
      </c>
    </row>
    <row r="7">
      <c r="A7" t="inlineStr">
        <is>
          <t>FREQUENCY_EST</t>
        </is>
      </c>
      <c r="B7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18" customWidth="1" min="4" max="4"/>
    <col width="15" customWidth="1" min="5" max="5"/>
    <col width="15" customWidth="1" min="6" max="6"/>
    <col width="12" customWidth="1" min="7" max="7"/>
    <col width="18" customWidth="1" min="8" max="8"/>
    <col width="25" customWidth="1" min="9" max="9"/>
  </cols>
  <sheetData>
    <row r="1">
      <c r="A1" s="1" t="inlineStr">
        <is>
          <t>Method 2: Bottom-Up Approach (with Narrowing)</t>
        </is>
      </c>
    </row>
    <row r="2">
      <c r="A2" s="2" t="inlineStr">
        <is>
          <t>총 모집단 → Narrowing Filters → 타겟 고객 → 구매 행동</t>
        </is>
      </c>
    </row>
    <row r="4">
      <c r="A4" s="3" t="inlineStr">
        <is>
          <t>Segment</t>
        </is>
      </c>
      <c r="B4" s="3" t="inlineStr">
        <is>
          <t>Total Population</t>
        </is>
      </c>
      <c r="C4" s="3" t="inlineStr">
        <is>
          <t>Narrowing Filters</t>
        </is>
      </c>
      <c r="D4" s="3" t="inlineStr">
        <is>
          <t>Narrowed Customers</t>
        </is>
      </c>
      <c r="E4" s="3" t="inlineStr">
        <is>
          <t>Purchase Rate</t>
        </is>
      </c>
      <c r="F4" s="3" t="inlineStr">
        <is>
          <t>AOV</t>
        </is>
      </c>
      <c r="G4" s="3" t="inlineStr">
        <is>
          <t>Frequency</t>
        </is>
      </c>
      <c r="H4" s="3" t="inlineStr">
        <is>
          <t>SAM</t>
        </is>
      </c>
      <c r="I4" s="3" t="inlineStr">
        <is>
          <t>Notes</t>
        </is>
      </c>
    </row>
    <row r="5">
      <c r="A5" s="4" t="inlineStr">
        <is>
          <t>개인 구독</t>
        </is>
      </c>
      <c r="B5" s="5">
        <f>TOTAL_POPULATION</f>
        <v/>
      </c>
      <c r="C5" s="6" t="inlineStr">
        <is>
          <t>지역 (한국) × 피아노 관심</t>
        </is>
      </c>
      <c r="D5" s="7">
        <f>B5*=FILTER_KOREA*=FILTER_PIANO</f>
        <v/>
      </c>
      <c r="E5" s="8">
        <f>PURCHASE_RATE_EST</f>
        <v/>
      </c>
      <c r="F5" s="5">
        <f>AOV_EST</f>
        <v/>
      </c>
      <c r="G5" s="9">
        <f>FREQUENCY_EST</f>
        <v/>
      </c>
      <c r="H5" s="10">
        <f>D5*E5*F5*G5</f>
        <v/>
      </c>
      <c r="I5" s="11" t="inlineStr">
        <is>
          <t>개인 대상 월 구독</t>
        </is>
      </c>
    </row>
    <row r="7">
      <c r="A7" s="12" t="inlineStr">
        <is>
          <t>Total SAM</t>
        </is>
      </c>
      <c r="F7" s="5" t="n"/>
      <c r="H7" s="13">
        <f>M2_Seg1_SAM</f>
        <v/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2025-11-04T11:34:05Z</dcterms:created>
  <dcterms:modified xmlns:dcterms="http://purl.org/dc/terms/" xmlns:xsi="http://www.w3.org/2001/XMLSchema-instance" xsi:type="dcterms:W3CDTF">2025-11-04T11:34:05Z</dcterms:modified>
</cp:coreProperties>
</file>