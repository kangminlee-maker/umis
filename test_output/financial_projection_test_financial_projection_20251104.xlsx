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_Buildup" sheetId="3" state="visible" r:id="rId3"/>
    <sheet xmlns:r="http://schemas.openxmlformats.org/officeDocument/2006/relationships" name="Cost_Structure" sheetId="4" state="visible" r:id="rId4"/>
    <sheet xmlns:r="http://schemas.openxmlformats.org/officeDocument/2006/relationships" name="PL_3Year" sheetId="5" state="visible" r:id="rId5"/>
    <sheet xmlns:r="http://schemas.openxmlformats.org/officeDocument/2006/relationships" name="PL_5Year" sheetId="6" state="visible" r:id="rId6"/>
    <sheet xmlns:r="http://schemas.openxmlformats.org/officeDocument/2006/relationships" name="CashFlow" sheetId="7" state="visible" r:id="rId7"/>
    <sheet xmlns:r="http://schemas.openxmlformats.org/officeDocument/2006/relationships" name="Key_Metrics" sheetId="8" state="visible" r:id="rId8"/>
    <sheet xmlns:r="http://schemas.openxmlformats.org/officeDocument/2006/relationships" name="FP_Scenarios" sheetId="9" state="visible" r:id="rId9"/>
    <sheet xmlns:r="http://schemas.openxmlformats.org/officeDocument/2006/relationships" name="BreakEven" sheetId="10" state="visible" r:id="rId10"/>
    <sheet xmlns:r="http://schemas.openxmlformats.org/officeDocument/2006/relationships" name="DCF_Valuation" sheetId="11" state="visible" r:id="rId11"/>
  </sheets>
  <definedNames>
    <definedName name="BaseRevenue">'Assumptions'!$B$5</definedName>
    <definedName name="GrowthRateYoY">'Assumptions'!$B$8</definedName>
    <definedName name="GrossMarginTarget">'Assumptions'!$B$11</definedName>
    <definedName name="EBITDAMargin">'Assumptions'!$B$12</definedName>
    <definedName name="NetMargin">'Assumptions'!$B$13</definedName>
    <definedName name="SMPercent">'Assumptions'!$B$16</definedName>
    <definedName name="RDPercent">'Assumptions'!$B$17</definedName>
    <definedName name="GAPercent">'Assumptions'!$B$18</definedName>
    <definedName name="TaxRate">'Assumptions'!$B$21</definedName>
    <definedName name="DiscountRate">'Assumptions'!$B$22</definedName>
    <definedName name="Revenue_Y0">'Revenue_Buildup'!$B$7</definedName>
    <definedName name="Revenue_Y1">'Revenue_Buildup'!$C$7</definedName>
    <definedName name="Revenue_Y2">'Revenue_Buildup'!$D$7</definedName>
    <definedName name="Revenue_Y3">'Revenue_Buildup'!$E$7</definedName>
    <definedName name="Revenue_Y4">'Revenue_Buildup'!$F$7</definedName>
    <definedName name="Revenue_Y5">'Revenue_Buildup'!$G$7</definedName>
    <definedName name="COGS_Y0">'Cost_Structure'!$C$6</definedName>
    <definedName name="COGS_Y1">'Cost_Structure'!$D$6</definedName>
    <definedName name="COGS_Y2">'Cost_Structure'!$E$6</definedName>
    <definedName name="COGS_Y3">'Cost_Structure'!$F$6</definedName>
    <definedName name="COGS_Y4">'Cost_Structure'!$G$6</definedName>
    <definedName name="COGS_Y5">'Cost_Structure'!$H$6</definedName>
    <definedName name="OPEX_Y0">'Cost_Structure'!$B$13</definedName>
    <definedName name="OPEX_Y1">'Cost_Structure'!$C$13</definedName>
    <definedName name="OPEX_Y2">'Cost_Structure'!$D$13</definedName>
    <definedName name="OPEX_Y3">'Cost_Structure'!$E$13</definedName>
    <definedName name="OPEX_Y4">'Cost_Structure'!$F$13</definedName>
    <definedName name="OPEX_Y5">'Cost_Structure'!$G$13</definedName>
    <definedName name="TotalCosts_Y0">'Cost_Structure'!$B$14</definedName>
    <definedName name="TotalCosts_Y1">'Cost_Structure'!$C$14</definedName>
    <definedName name="TotalCosts_Y2">'Cost_Structure'!$D$14</definedName>
    <definedName name="TotalCosts_Y3">'Cost_Structure'!$E$14</definedName>
    <definedName name="TotalCosts_Y4">'Cost_Structure'!$F$14</definedName>
    <definedName name="TotalCosts_Y5">'Cost_Structure'!$G$14</definedName>
    <definedName name="EBITDA_Y0">'PL_5Year'!$B$14</definedName>
    <definedName name="EBITDA_Y1">'PL_5Year'!$C$14</definedName>
    <definedName name="EBITDA_Y2">'PL_5Year'!$D$14</definedName>
    <definedName name="EBITDA_Y3">'PL_5Year'!$E$14</definedName>
    <definedName name="EBITDA_Y4">'PL_5Year'!$F$14</definedName>
    <definedName name="EBITDA_Y5">'PL_5Year'!$G$14</definedName>
    <definedName name="NetIncome_Y0">'PL_5Year'!$B$21</definedName>
    <definedName name="NetIncome_Y1">'PL_5Year'!$C$21</definedName>
    <definedName name="NetIncome_Y2">'PL_5Year'!$D$21</definedName>
    <definedName name="NetIncome_Y3">'PL_5Year'!$E$21</definedName>
    <definedName name="NetIncome_Y4">'PL_5Year'!$F$21</definedName>
    <definedName name="NetIncome_Y5">'PL_5Year'!$G$21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₩#,##0"/>
  </numFmts>
  <fonts count="2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  <font>
      <sz val="10"/>
    </font>
    <font>
      <b val="1"/>
      <sz val="10"/>
    </font>
    <font>
      <sz val="9"/>
    </font>
    <font>
      <b val="1"/>
      <color rgb="00FFFFFF"/>
      <sz val="10"/>
    </font>
    <font>
      <b val="1"/>
      <color rgb="00FFFFFF"/>
      <sz val="11"/>
    </font>
    <font>
      <i val="1"/>
      <sz val="10"/>
    </font>
    <font>
      <i val="1"/>
    </font>
    <font>
      <i val="1"/>
      <color rgb="00666666"/>
    </font>
    <font>
      <b val="1"/>
      <color rgb="00FFFFFF"/>
    </font>
    <font>
      <b val="1"/>
    </font>
    <font>
      <i val="1"/>
      <sz val="9"/>
    </font>
    <font>
      <b val="1"/>
      <color rgb="00FFFFFF"/>
      <sz val="12"/>
    </font>
    <font>
      <b val="1"/>
      <i val="1"/>
    </font>
    <font>
      <b val="1"/>
      <sz val="12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4"/>
    </font>
    <font>
      <b val="1"/>
      <color rgb="00666666"/>
      <sz val="10"/>
    </font>
    <font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8" fillId="4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0" fontId="20" fillId="0" borderId="0" pivotButton="0" quotePrefix="0" xfId="0"/>
    <xf numFmtId="165" fontId="21" fillId="0" borderId="0" applyAlignment="1" pivotButton="0" quotePrefix="0" xfId="0">
      <alignment horizontal="right"/>
    </xf>
    <xf numFmtId="164" fontId="21" fillId="0" borderId="0" applyAlignment="1" pivotButton="0" quotePrefix="0" xfId="0">
      <alignment horizontal="right"/>
    </xf>
    <xf numFmtId="0" fontId="7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6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/>
    </xf>
    <xf numFmtId="0" fontId="8" fillId="4" borderId="0" pivotButton="0" quotePrefix="0" xfId="0"/>
    <xf numFmtId="3" fontId="8" fillId="4" borderId="0" pivotButton="0" quotePrefix="0" xfId="0"/>
    <xf numFmtId="0" fontId="9" fillId="0" borderId="0" pivotButton="0" quotePrefix="0" xfId="0"/>
    <xf numFmtId="164" fontId="10" fillId="0" borderId="0" pivotButton="0" quotePrefix="0" xfId="0"/>
    <xf numFmtId="3" fontId="11" fillId="0" borderId="0" pivotButton="0" quotePrefix="0" xfId="0"/>
    <xf numFmtId="0" fontId="5" fillId="5" borderId="0" pivotButton="0" quotePrefix="0" xfId="0"/>
    <xf numFmtId="3" fontId="0" fillId="5" borderId="0" pivotButton="0" quotePrefix="0" xfId="0"/>
    <xf numFmtId="0" fontId="8" fillId="6" borderId="0" pivotButton="0" quotePrefix="0" xfId="0"/>
    <xf numFmtId="3" fontId="12" fillId="6" borderId="0" pivotButton="0" quotePrefix="0" xfId="0"/>
    <xf numFmtId="3" fontId="13" fillId="0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5" fillId="8" borderId="0" pivotButton="0" quotePrefix="0" xfId="0"/>
    <xf numFmtId="3" fontId="0" fillId="8" borderId="0" pivotButton="0" quotePrefix="0" xfId="0"/>
    <xf numFmtId="0" fontId="3" fillId="9" borderId="0" pivotButton="0" quotePrefix="0" xfId="0"/>
    <xf numFmtId="3" fontId="13" fillId="9" borderId="0" pivotButton="0" quotePrefix="0" xfId="0"/>
    <xf numFmtId="0" fontId="3" fillId="3" borderId="0" pivotButton="0" quotePrefix="0" xfId="0"/>
    <xf numFmtId="0" fontId="15" fillId="4" borderId="0" pivotButton="0" quotePrefix="0" xfId="0"/>
    <xf numFmtId="0" fontId="15" fillId="10" borderId="0" pivotButton="0" quotePrefix="0" xfId="0"/>
    <xf numFmtId="3" fontId="12" fillId="10" borderId="0" pivotButton="0" quotePrefix="0" xfId="0"/>
    <xf numFmtId="164" fontId="16" fillId="0" borderId="0" pivotButton="0" quotePrefix="0" xfId="0"/>
    <xf numFmtId="164" fontId="13" fillId="0" borderId="0" pivotButton="0" quotePrefix="0" xfId="0"/>
    <xf numFmtId="164" fontId="13" fillId="11" borderId="0" pivotButton="0" quotePrefix="0" xfId="0"/>
    <xf numFmtId="3" fontId="13" fillId="11" borderId="0" pivotButton="0" quotePrefix="0" xfId="0"/>
    <xf numFmtId="3" fontId="17" fillId="9" borderId="0" pivotButton="0" quotePrefix="0" xfId="0"/>
    <xf numFmtId="3" fontId="13" fillId="5" borderId="0" pivotButton="0" quotePrefix="0" xfId="0"/>
    <xf numFmtId="3" fontId="1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25" customWidth="1" min="5" max="5"/>
  </cols>
  <sheetData>
    <row r="1" ht="35" customHeight="1">
      <c r="A1" s="1" t="inlineStr">
        <is>
          <t>Financial Projection Dashboard</t>
        </is>
      </c>
    </row>
    <row r="2">
      <c r="A2" s="2" t="inlineStr">
        <is>
          <t>test_financial_projection</t>
        </is>
      </c>
    </row>
    <row r="4">
      <c r="A4" s="3" t="inlineStr">
        <is>
          <t>📊 Year 5 핵심 지표</t>
        </is>
      </c>
    </row>
    <row r="5">
      <c r="A5" s="4" t="inlineStr">
        <is>
          <t>Revenue (Year 5)</t>
        </is>
      </c>
      <c r="B5" s="5">
        <f>Revenue_Y5</f>
        <v/>
      </c>
    </row>
    <row r="6">
      <c r="A6" s="4" t="inlineStr">
        <is>
          <t>Net Income (Year 5)</t>
        </is>
      </c>
      <c r="B6" s="5">
        <f>NetIncome_Y5</f>
        <v/>
      </c>
    </row>
    <row r="7">
      <c r="A7" s="4" t="inlineStr">
        <is>
          <t>CAGR (Year 0-5)</t>
        </is>
      </c>
      <c r="B7" s="6">
        <f>((Revenue_Y5/Revenue_Y0)^(1/5))-1</f>
        <v/>
      </c>
    </row>
    <row r="9">
      <c r="A9" s="3" t="inlineStr">
        <is>
          <t>📈 성장 추이</t>
        </is>
      </c>
    </row>
    <row r="10">
      <c r="A10" s="7" t="inlineStr">
        <is>
          <t>Metric</t>
        </is>
      </c>
      <c r="B10" s="7" t="inlineStr">
        <is>
          <t>Year 0</t>
        </is>
      </c>
      <c r="C10" s="7" t="inlineStr">
        <is>
          <t>Year 5</t>
        </is>
      </c>
      <c r="D10" s="7" t="inlineStr">
        <is>
          <t>Growth</t>
        </is>
      </c>
    </row>
    <row r="11">
      <c r="A11" t="inlineStr">
        <is>
          <t>Revenue</t>
        </is>
      </c>
      <c r="B11" s="8">
        <f>Revenue_Y0</f>
        <v/>
      </c>
      <c r="C11" s="8">
        <f>Revenue_Y5</f>
        <v/>
      </c>
      <c r="D11" s="9">
        <f>C11/B11-1</f>
        <v/>
      </c>
    </row>
    <row r="12">
      <c r="A12" t="inlineStr">
        <is>
          <t>Net Income</t>
        </is>
      </c>
      <c r="B12" s="8">
        <f>NetIncome_Y0</f>
        <v/>
      </c>
      <c r="C12" s="8">
        <f>NetIncome_Y5</f>
        <v/>
      </c>
      <c r="D12" s="9">
        <f>IFERROR(C12/B12-1, 0)</f>
        <v/>
      </c>
    </row>
    <row r="14">
      <c r="A14" s="3" t="inlineStr">
        <is>
          <t>🎯 시나리오 비교 (Year 5)</t>
        </is>
      </c>
    </row>
    <row r="15">
      <c r="A15" t="inlineStr">
        <is>
          <t>시나리오 참고:</t>
        </is>
      </c>
      <c r="B15" s="10" t="inlineStr">
        <is>
          <t>FP_Scenarios 시트에서 Bear/Base/Bull 비교</t>
        </is>
      </c>
    </row>
    <row r="17">
      <c r="A17" s="3" t="inlineStr">
        <is>
          <t>📋 다음 액션</t>
        </is>
      </c>
    </row>
    <row r="18">
      <c r="A18" s="11" t="inlineStr">
        <is>
          <t>1. Assumptions 시트에서 성장률, Margin 조정</t>
        </is>
      </c>
    </row>
    <row r="19">
      <c r="A19" s="11" t="inlineStr">
        <is>
          <t>2. Revenue_Buildup에서 세그먼트별 성장률 세밀 조정</t>
        </is>
      </c>
    </row>
    <row r="20">
      <c r="A20" s="11" t="inlineStr">
        <is>
          <t>3. PL_3Year / PL_5Year에서 손익 추이 확인</t>
        </is>
      </c>
    </row>
    <row r="21">
      <c r="A21" s="11" t="inlineStr">
        <is>
          <t>4. CashFlow에서 현금 소진 시점 확인 (Ending Cash &lt; 0?)</t>
        </is>
      </c>
    </row>
    <row r="22">
      <c r="A22" s="11" t="inlineStr">
        <is>
          <t>5. FP_Scenarios에서 Bear Case 확인 (리스크 관리)</t>
        </is>
      </c>
    </row>
    <row r="23">
      <c r="A23" s="11" t="inlineStr">
        <is>
          <t>6. BreakEven에서 손익분기 달성 시점 확인</t>
        </is>
      </c>
    </row>
    <row r="25">
      <c r="A25" s="12" t="inlineStr">
        <is>
          <t>📊 상세 분석 시트</t>
        </is>
      </c>
    </row>
    <row r="26">
      <c r="A26" s="13" t="inlineStr">
        <is>
          <t>• Assumptions: 핵심 가정 입력</t>
        </is>
      </c>
    </row>
    <row r="27">
      <c r="A27" s="13" t="inlineStr">
        <is>
          <t>• Revenue_Buildup: 세그먼트별 매출</t>
        </is>
      </c>
    </row>
    <row r="28">
      <c r="A28" s="13" t="inlineStr">
        <is>
          <t>• Cost_Structure: COGS + OPEX</t>
        </is>
      </c>
    </row>
    <row r="29">
      <c r="A29" s="13" t="inlineStr">
        <is>
          <t>• PL_3Year / PL_5Year: 손익계산서</t>
        </is>
      </c>
    </row>
    <row r="30">
      <c r="A30" s="13" t="inlineStr">
        <is>
          <t>• CashFlow: 현금흐름표</t>
        </is>
      </c>
    </row>
    <row r="31">
      <c r="A31" s="13" t="inlineStr">
        <is>
          <t>• Key_Metrics: 성장률, Margin 추이</t>
        </is>
      </c>
    </row>
    <row r="32">
      <c r="A32" s="13" t="inlineStr">
        <is>
          <t>• FP_Scenarios: Bear/Base/Bull 비교</t>
        </is>
      </c>
    </row>
    <row r="33">
      <c r="A33" s="13" t="inlineStr">
        <is>
          <t>• BreakEven: 손익분기 분석</t>
        </is>
      </c>
    </row>
    <row r="34">
      <c r="A34" s="13" t="inlineStr">
        <is>
          <t>• DCF_Valuation: 기업 가치 평가</t>
        </is>
      </c>
    </row>
  </sheetData>
  <mergeCells count="22">
    <mergeCell ref="A30:E30"/>
    <mergeCell ref="A34:E34"/>
    <mergeCell ref="B15:E15"/>
    <mergeCell ref="A1:E1"/>
    <mergeCell ref="A18:E18"/>
    <mergeCell ref="A27:E27"/>
    <mergeCell ref="A21:E21"/>
    <mergeCell ref="A26:E26"/>
    <mergeCell ref="A2:E2"/>
    <mergeCell ref="A33:E33"/>
    <mergeCell ref="A23:E23"/>
    <mergeCell ref="A32:E32"/>
    <mergeCell ref="A14:E14"/>
    <mergeCell ref="A22:E22"/>
    <mergeCell ref="A17:E17"/>
    <mergeCell ref="A29:E29"/>
    <mergeCell ref="A4:E4"/>
    <mergeCell ref="A20:E20"/>
    <mergeCell ref="A28:E28"/>
    <mergeCell ref="A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0" customWidth="1" min="4" max="4"/>
  </cols>
  <sheetData>
    <row r="1" ht="30" customHeight="1">
      <c r="A1" s="14" t="inlineStr">
        <is>
          <t>Financial Projection Assumptions</t>
        </is>
      </c>
    </row>
    <row r="2">
      <c r="A2" s="15" t="inlineStr">
        <is>
          <t>재무 예측의 핵심 가정 (노란색 셀만 수정)</t>
        </is>
      </c>
    </row>
    <row r="4">
      <c r="A4" s="16" t="inlineStr">
        <is>
          <t>1. 기준 매출 (Year 0)</t>
        </is>
      </c>
    </row>
    <row r="5">
      <c r="A5" s="17" t="inlineStr">
        <is>
          <t>Base Revenue (Year 0)</t>
        </is>
      </c>
      <c r="B5" s="18" t="n">
        <v>100000000000</v>
      </c>
      <c r="C5" t="inlineStr">
        <is>
          <t>원</t>
        </is>
      </c>
      <c r="D5" t="inlineStr">
        <is>
          <t>현재 연간 매출 (기준점)</t>
        </is>
      </c>
    </row>
    <row r="7">
      <c r="A7" s="16" t="inlineStr">
        <is>
          <t>2. 성장률 (Growth Rates)</t>
        </is>
      </c>
    </row>
    <row r="8">
      <c r="A8" s="17" t="inlineStr">
        <is>
          <t>YoY Growth Rate (전체)</t>
        </is>
      </c>
      <c r="B8" s="19" t="n">
        <v>0.25</v>
      </c>
      <c r="C8" t="inlineStr">
        <is>
          <t>%</t>
        </is>
      </c>
      <c r="D8" t="inlineStr">
        <is>
          <t>Year-over-Year 평균 성장률</t>
        </is>
      </c>
    </row>
    <row r="10">
      <c r="A10" s="16" t="inlineStr">
        <is>
          <t>3. Margin (수익률)</t>
        </is>
      </c>
    </row>
    <row r="11">
      <c r="A11" s="17" t="inlineStr">
        <is>
          <t>Gross Margin (목표)</t>
        </is>
      </c>
      <c r="B11" s="19" t="n">
        <v>0.6</v>
      </c>
      <c r="C11" t="inlineStr">
        <is>
          <t>%</t>
        </is>
      </c>
      <c r="D11" t="inlineStr">
        <is>
          <t>(Revenue - COGS) / Revenue</t>
        </is>
      </c>
    </row>
    <row r="12">
      <c r="A12" s="17" t="inlineStr">
        <is>
          <t>EBITDA Margin (목표)</t>
        </is>
      </c>
      <c r="B12" s="19" t="n">
        <v>0.12</v>
      </c>
      <c r="C12" t="inlineStr">
        <is>
          <t>%</t>
        </is>
      </c>
      <c r="D12" t="inlineStr">
        <is>
          <t>EBITDA / Revenue</t>
        </is>
      </c>
    </row>
    <row r="13">
      <c r="A13" s="17" t="inlineStr">
        <is>
          <t>Net Margin (목표)</t>
        </is>
      </c>
      <c r="B13" s="19" t="n">
        <v>0.08</v>
      </c>
      <c r="C13" t="inlineStr">
        <is>
          <t>%</t>
        </is>
      </c>
      <c r="D13" t="inlineStr">
        <is>
          <t>Net Income / Revenue</t>
        </is>
      </c>
    </row>
    <row r="15">
      <c r="A15" s="16" t="inlineStr">
        <is>
          <t>4. OPEX 비율 (% of Revenue)</t>
        </is>
      </c>
    </row>
    <row r="16">
      <c r="A16" s="17" t="inlineStr">
        <is>
          <t>S&amp;M (Sales &amp; Marketing)</t>
        </is>
      </c>
      <c r="B16" s="19" t="n">
        <v>0.25</v>
      </c>
      <c r="C16" t="inlineStr">
        <is>
          <t>%</t>
        </is>
      </c>
      <c r="D16" t="inlineStr">
        <is>
          <t>영업 및 마케팅 비용 / 매출</t>
        </is>
      </c>
    </row>
    <row r="17">
      <c r="A17" s="17" t="inlineStr">
        <is>
          <t>R&amp;D (Research &amp; Development)</t>
        </is>
      </c>
      <c r="B17" s="19" t="n">
        <v>0.12</v>
      </c>
      <c r="C17" t="inlineStr">
        <is>
          <t>%</t>
        </is>
      </c>
      <c r="D17" t="inlineStr">
        <is>
          <t>연구개발 비용 / 매출</t>
        </is>
      </c>
    </row>
    <row r="18">
      <c r="A18" s="17" t="inlineStr">
        <is>
          <t>G&amp;A (General &amp; Administrative)</t>
        </is>
      </c>
      <c r="B18" s="19" t="n">
        <v>0.08</v>
      </c>
      <c r="C18" t="inlineStr">
        <is>
          <t>%</t>
        </is>
      </c>
      <c r="D18" t="inlineStr">
        <is>
          <t>일반관리 비용 / 매출</t>
        </is>
      </c>
    </row>
    <row r="20">
      <c r="A20" s="16" t="inlineStr">
        <is>
          <t>5. 기타 가정</t>
        </is>
      </c>
    </row>
    <row r="21">
      <c r="A21" s="17" t="inlineStr">
        <is>
          <t>Tax Rate (법인세율)</t>
        </is>
      </c>
      <c r="B21" s="19" t="n">
        <v>0.25</v>
      </c>
      <c r="C21" t="inlineStr">
        <is>
          <t>%</t>
        </is>
      </c>
      <c r="D21" t="inlineStr">
        <is>
          <t>법인세 (일반 25%)</t>
        </is>
      </c>
    </row>
    <row r="22">
      <c r="A22" s="17" t="inlineStr">
        <is>
          <t>Discount Rate (할인율)</t>
        </is>
      </c>
      <c r="B22" s="19" t="n">
        <v>0.1</v>
      </c>
      <c r="C22" t="inlineStr">
        <is>
          <t>%</t>
        </is>
      </c>
      <c r="D22" t="inlineStr">
        <is>
          <t>DCF 현가 계산용 (WACC)</t>
        </is>
      </c>
    </row>
    <row r="24">
      <c r="A24" s="20" t="inlineStr">
        <is>
          <t>💡 입력 가이드</t>
        </is>
      </c>
    </row>
    <row r="25">
      <c r="A25" s="11" t="inlineStr">
        <is>
          <t>• YoY Growth Rate: 전년 대비 성장률 (일정하다고 가정)</t>
        </is>
      </c>
    </row>
    <row r="26">
      <c r="A26" s="11" t="inlineStr">
        <is>
          <t>• Gross Margin: 원가를 제외한 수익률</t>
        </is>
      </c>
    </row>
    <row r="27">
      <c r="A27" s="11" t="inlineStr">
        <is>
          <t>• EBITDA Margin: 영업이익률 (감가상각 전)</t>
        </is>
      </c>
    </row>
    <row r="28">
      <c r="A28" s="11" t="inlineStr">
        <is>
          <t>• Net Margin: 세후 순이익률</t>
        </is>
      </c>
    </row>
    <row r="29">
      <c r="A29" s="11" t="inlineStr">
        <is>
          <t>• OPEX %: 각 비용 항목의 매출 대비 비율</t>
        </is>
      </c>
    </row>
    <row r="30">
      <c r="A30" s="11" t="inlineStr">
        <is>
          <t>• Discount Rate: 일반적으로 WACC 또는 요구 수익률 (10-15%)</t>
        </is>
      </c>
    </row>
  </sheetData>
  <mergeCells count="13">
    <mergeCell ref="A1:D1"/>
    <mergeCell ref="A27:D27"/>
    <mergeCell ref="A4:D4"/>
    <mergeCell ref="A20:D20"/>
    <mergeCell ref="A26:D26"/>
    <mergeCell ref="A30:D30"/>
    <mergeCell ref="A15:D15"/>
    <mergeCell ref="A7:D7"/>
    <mergeCell ref="A25:D25"/>
    <mergeCell ref="A29:D29"/>
    <mergeCell ref="A2:D2"/>
    <mergeCell ref="A10:D10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Revenue Build-up (세그먼트별)</t>
        </is>
      </c>
    </row>
    <row r="2">
      <c r="A2" s="15" t="inlineStr">
        <is>
          <t>Year 0 ~ Year 5 매출 예측 (세그먼트별 성장률)</t>
        </is>
      </c>
    </row>
    <row r="4">
      <c r="A4" s="21" t="inlineStr">
        <is>
          <t>Segment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Growth %</t>
        </is>
      </c>
    </row>
    <row r="5">
      <c r="A5" s="20" t="inlineStr">
        <is>
          <t>Segment1</t>
        </is>
      </c>
      <c r="B5" s="18" t="n">
        <v>60000000000</v>
      </c>
      <c r="C5" s="8">
        <f>B5*(1+$H$5)</f>
        <v/>
      </c>
      <c r="D5" s="8">
        <f>C5*(1+$H$5)</f>
        <v/>
      </c>
      <c r="E5" s="8">
        <f>D5*(1+$H$5)</f>
        <v/>
      </c>
      <c r="F5" s="8">
        <f>E5*(1+$H$5)</f>
        <v/>
      </c>
      <c r="G5" s="19" t="n">
        <v>0.2</v>
      </c>
    </row>
    <row r="6">
      <c r="A6" s="20" t="inlineStr">
        <is>
          <t>Segment2</t>
        </is>
      </c>
      <c r="B6" s="18" t="n">
        <v>40000000000</v>
      </c>
      <c r="C6" s="8">
        <f>B6*(1+$H$6)</f>
        <v/>
      </c>
      <c r="D6" s="8">
        <f>C6*(1+$H$6)</f>
        <v/>
      </c>
      <c r="E6" s="8">
        <f>D6*(1+$H$6)</f>
        <v/>
      </c>
      <c r="F6" s="8">
        <f>E6*(1+$H$6)</f>
        <v/>
      </c>
      <c r="G6" s="19" t="n">
        <v>0.3</v>
      </c>
    </row>
    <row r="7">
      <c r="A7" s="22" t="inlineStr">
        <is>
          <t>Total Revenue</t>
        </is>
      </c>
      <c r="B7" s="23">
        <f>SUM(B5:B6)</f>
        <v/>
      </c>
      <c r="C7" s="23">
        <f>SUM(C5:C6)</f>
        <v/>
      </c>
      <c r="D7" s="23">
        <f>SUM(D5:D6)</f>
        <v/>
      </c>
      <c r="E7" s="23">
        <f>SUM(E5:E6)</f>
        <v/>
      </c>
      <c r="F7" s="23">
        <f>SUM(F5:F6)</f>
        <v/>
      </c>
      <c r="G7" s="23">
        <f>SUM(G5:G6)</f>
        <v/>
      </c>
    </row>
    <row r="8">
      <c r="A8" s="24" t="inlineStr">
        <is>
          <t>YoY Growth %</t>
        </is>
      </c>
      <c r="C8" s="25">
        <f>(C7-B7)/B7</f>
        <v/>
      </c>
      <c r="D8" s="25">
        <f>(D7-C7)/C7</f>
        <v/>
      </c>
      <c r="E8" s="25">
        <f>(E7-D7)/D7</f>
        <v/>
      </c>
      <c r="F8" s="25">
        <f>(F7-E7)/E7</f>
        <v/>
      </c>
      <c r="G8" s="25">
        <f>(G7-F7)/F7</f>
        <v/>
      </c>
    </row>
    <row r="10">
      <c r="A10" s="20" t="inlineStr">
        <is>
          <t>💡 해석 가이드</t>
        </is>
      </c>
    </row>
    <row r="11">
      <c r="A11" s="11" t="inlineStr">
        <is>
          <t>• 세그먼트별 성장률을 다르게 설정 가능 (마지막 컬럼 수정)</t>
        </is>
      </c>
    </row>
    <row r="12">
      <c r="A12" s="11" t="inlineStr">
        <is>
          <t>• 총 매출은 자동 계산 (세그먼트 합계)</t>
        </is>
      </c>
    </row>
    <row r="13">
      <c r="A13" s="11" t="inlineStr">
        <is>
          <t>• YoY %는 전년 대비 성장률 (자동 계산)</t>
        </is>
      </c>
    </row>
  </sheetData>
  <mergeCells count="5">
    <mergeCell ref="A12:H12"/>
    <mergeCell ref="A2:H2"/>
    <mergeCell ref="A13:H1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Cost Structure</t>
        </is>
      </c>
    </row>
    <row r="2">
      <c r="A2" s="15" t="inlineStr">
        <is>
          <t>Year 0 ~ Year 5 비용 구조 (매출 % 기준)</t>
        </is>
      </c>
    </row>
    <row r="4">
      <c r="A4" s="21" t="inlineStr">
        <is>
          <t>Cost 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% of Rev</t>
        </is>
      </c>
    </row>
    <row r="5">
      <c r="A5" s="15" t="inlineStr">
        <is>
          <t>Revenue</t>
        </is>
      </c>
      <c r="B5" s="26">
        <f>Revenue_Y0</f>
        <v/>
      </c>
      <c r="C5" s="26">
        <f>Revenue_Y1</f>
        <v/>
      </c>
      <c r="D5" s="26">
        <f>Revenue_Y2</f>
        <v/>
      </c>
      <c r="E5" s="26">
        <f>Revenue_Y3</f>
        <v/>
      </c>
      <c r="F5" s="26">
        <f>Revenue_Y4</f>
        <v/>
      </c>
      <c r="G5" s="26">
        <f>Revenue_Y5</f>
        <v/>
      </c>
    </row>
    <row r="6">
      <c r="A6" s="20" t="inlineStr">
        <is>
          <t>COGS</t>
        </is>
      </c>
      <c r="B6" s="8">
        <f>B5*(1-GrossMarginTarget)</f>
        <v/>
      </c>
      <c r="C6" s="8">
        <f>C5*(1-GrossMarginTarget)</f>
        <v/>
      </c>
      <c r="D6" s="8">
        <f>D5*(1-GrossMarginTarget)</f>
        <v/>
      </c>
      <c r="E6" s="8">
        <f>E5*(1-GrossMarginTarget)</f>
        <v/>
      </c>
      <c r="F6" s="8">
        <f>F5*(1-GrossMarginTarget)</f>
        <v/>
      </c>
      <c r="G6" s="8">
        <f>G5*(1-GrossMarginTarget)</f>
        <v/>
      </c>
      <c r="H6" s="9">
        <f>(1-GrossMarginTarget)</f>
        <v/>
      </c>
    </row>
    <row r="7">
      <c r="A7" s="27" t="inlineStr">
        <is>
          <t>Gross Profit</t>
        </is>
      </c>
      <c r="B7" s="28">
        <f>B5-B6</f>
        <v/>
      </c>
      <c r="C7" s="28">
        <f>C5-C6</f>
        <v/>
      </c>
      <c r="D7" s="28">
        <f>D5-D6</f>
        <v/>
      </c>
      <c r="E7" s="28">
        <f>E5-E6</f>
        <v/>
      </c>
      <c r="F7" s="28">
        <f>F5-F6</f>
        <v/>
      </c>
      <c r="G7" s="28">
        <f>G5-G6</f>
        <v/>
      </c>
      <c r="H7" s="9">
        <f>GrossMarginTarget</f>
        <v/>
      </c>
    </row>
    <row r="9">
      <c r="A9" s="16" t="inlineStr">
        <is>
          <t>Operating Expenses (OPEX)</t>
        </is>
      </c>
    </row>
    <row r="10">
      <c r="A10" s="17" t="inlineStr">
        <is>
          <t>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  <c r="H10" s="9">
        <f>SMPercent</f>
        <v/>
      </c>
    </row>
    <row r="11">
      <c r="A11" s="17" t="inlineStr">
        <is>
          <t>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  <c r="H11" s="9">
        <f>RDPercent</f>
        <v/>
      </c>
    </row>
    <row r="12">
      <c r="A12" s="17" t="inlineStr">
        <is>
          <t>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  <c r="H12" s="9">
        <f>GAPercent</f>
        <v/>
      </c>
    </row>
    <row r="13">
      <c r="A13" s="27" t="inlineStr">
        <is>
          <t>Total OPEX</t>
        </is>
      </c>
      <c r="B13" s="28">
        <f>SUM(B10:B12)</f>
        <v/>
      </c>
      <c r="C13" s="28">
        <f>SUM(C10:C12)</f>
        <v/>
      </c>
      <c r="D13" s="28">
        <f>SUM(D10:D12)</f>
        <v/>
      </c>
      <c r="E13" s="28">
        <f>SUM(E10:E12)</f>
        <v/>
      </c>
      <c r="F13" s="28">
        <f>SUM(F10:F12)</f>
        <v/>
      </c>
      <c r="G13" s="28">
        <f>SUM(G10:G12)</f>
        <v/>
      </c>
      <c r="H13" s="9">
        <f>SMPercent+RDPercent+GAPercent</f>
        <v/>
      </c>
    </row>
    <row r="14">
      <c r="A14" s="29" t="inlineStr">
        <is>
          <t>Total Costs</t>
        </is>
      </c>
      <c r="B14" s="30">
        <f>B6+B13</f>
        <v/>
      </c>
      <c r="C14" s="30">
        <f>C6+C13</f>
        <v/>
      </c>
      <c r="D14" s="30">
        <f>D6+D13</f>
        <v/>
      </c>
      <c r="E14" s="30">
        <f>E6+E13</f>
        <v/>
      </c>
      <c r="F14" s="30">
        <f>F6+F13</f>
        <v/>
      </c>
      <c r="G14" s="30">
        <f>G6+G13</f>
        <v/>
      </c>
    </row>
    <row r="16">
      <c r="A16" s="20" t="inlineStr">
        <is>
          <t>💡 해석 가이드</t>
        </is>
      </c>
    </row>
    <row r="17">
      <c r="A17" s="11" t="inlineStr">
        <is>
          <t>• COGS = Revenue × (1 - Gross Margin) 자동 계산</t>
        </is>
      </c>
    </row>
    <row r="18">
      <c r="A18" s="11" t="inlineStr">
        <is>
          <t>• OPEX는 매출 대비 % 기준 (Assumptions 시트에서 조정)</t>
        </is>
      </c>
    </row>
    <row r="19">
      <c r="A19" s="11" t="inlineStr">
        <is>
          <t>• Total Costs = COGS + OPEX</t>
        </is>
      </c>
    </row>
  </sheetData>
  <mergeCells count="6">
    <mergeCell ref="A9:H9"/>
    <mergeCell ref="A18:H18"/>
    <mergeCell ref="A2:H2"/>
    <mergeCell ref="A19:H19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P&amp;L Forecast (3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26:E26"/>
    <mergeCell ref="A2:E2"/>
    <mergeCell ref="A25:E25"/>
    <mergeCell ref="A1:E1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P&amp;L Forecast (5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  <c r="F5" s="31">
        <f>Revenue_Y4</f>
        <v/>
      </c>
      <c r="G5" s="31">
        <f>Revenue_Y5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  <c r="F6" s="8">
        <f>COGS_Y4</f>
        <v/>
      </c>
      <c r="G6" s="8">
        <f>COGS_Y5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  <c r="F7" s="33">
        <f>F5-F6</f>
        <v/>
      </c>
      <c r="G7" s="33">
        <f>G5-G6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  <c r="F8" s="25">
        <f>F7/F5</f>
        <v/>
      </c>
      <c r="G8" s="25">
        <f>G7/G5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  <c r="F13" s="35">
        <f>F10+F11+F12</f>
        <v/>
      </c>
      <c r="G13" s="35">
        <f>G10+G11+G12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  <c r="F14" s="37">
        <f>F7-F13</f>
        <v/>
      </c>
      <c r="G14" s="37">
        <f>G7-G13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  <c r="F15" s="25">
        <f>F14/F5</f>
        <v/>
      </c>
      <c r="G15" s="25">
        <f>G14/G5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  <c r="F16" s="8">
        <f>F5*0.02</f>
        <v/>
      </c>
      <c r="G16" s="8">
        <f>G5*0.02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  <c r="F17" s="18">
        <f>F14-F16</f>
        <v/>
      </c>
      <c r="G17" s="18">
        <f>G14-G16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  <c r="F19" s="8">
        <f>F17-F18</f>
        <v/>
      </c>
      <c r="G19" s="8">
        <f>G17-G18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  <c r="F20" s="8">
        <f>IF(F19&gt;0, F19*TaxRate, 0)</f>
        <v/>
      </c>
      <c r="G20" s="8">
        <f>IF(G19&gt;0, G19*TaxRate,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  <c r="F21" s="23">
        <f>F19-F20</f>
        <v/>
      </c>
      <c r="G21" s="23">
        <f>G19-G20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  <c r="F22" s="25">
        <f>F21/F5</f>
        <v/>
      </c>
      <c r="G22" s="25">
        <f>G21/G5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1:G1"/>
    <mergeCell ref="A27:G27"/>
    <mergeCell ref="A26:G26"/>
    <mergeCell ref="A2:G2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Cash Flow Forecast</t>
        </is>
      </c>
    </row>
    <row r="2">
      <c r="A2" s="15" t="inlineStr">
        <is>
          <t>현금흐름표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Operating Cash Flow</t>
        </is>
      </c>
    </row>
    <row r="6">
      <c r="A6" s="11" t="inlineStr">
        <is>
          <t xml:space="preserve">  EBITDA</t>
        </is>
      </c>
      <c r="B6" s="8">
        <f>EBITDA_Y0</f>
        <v/>
      </c>
      <c r="C6" s="8">
        <f>EBITDA_Y1</f>
        <v/>
      </c>
      <c r="D6" s="8">
        <f>EBITDA_Y2</f>
        <v/>
      </c>
      <c r="E6" s="8">
        <f>EBITDA_Y3</f>
        <v/>
      </c>
      <c r="F6" s="8">
        <f>EBITDA_Y4</f>
        <v/>
      </c>
      <c r="G6" s="8">
        <f>EBITDA_Y5</f>
        <v/>
      </c>
    </row>
    <row r="7">
      <c r="A7" s="27" t="inlineStr">
        <is>
          <t>Total Operating CF</t>
        </is>
      </c>
      <c r="B7" s="28">
        <f>B6</f>
        <v/>
      </c>
      <c r="C7" s="28">
        <f>C6</f>
        <v/>
      </c>
      <c r="D7" s="28">
        <f>D6</f>
        <v/>
      </c>
      <c r="E7" s="28">
        <f>E6</f>
        <v/>
      </c>
      <c r="F7" s="28">
        <f>F6</f>
        <v/>
      </c>
      <c r="G7" s="28">
        <f>G6</f>
        <v/>
      </c>
    </row>
    <row r="9">
      <c r="A9" s="16" t="inlineStr">
        <is>
          <t>Investment Cash Flow</t>
        </is>
      </c>
    </row>
    <row r="10">
      <c r="A10" s="11" t="inlineStr">
        <is>
          <t xml:space="preserve">  CAPEX</t>
        </is>
      </c>
      <c r="B10" s="8">
        <f>-Revenue_Y0*0.05</f>
        <v/>
      </c>
      <c r="C10" s="8">
        <f>-Revenue_Y1*0.05</f>
        <v/>
      </c>
      <c r="D10" s="8">
        <f>-Revenue_Y2*0.05</f>
        <v/>
      </c>
      <c r="E10" s="8">
        <f>-Revenue_Y3*0.05</f>
        <v/>
      </c>
      <c r="F10" s="8">
        <f>-Revenue_Y4*0.05</f>
        <v/>
      </c>
      <c r="G10" s="8">
        <f>-Revenue_Y5*0.05</f>
        <v/>
      </c>
    </row>
    <row r="11">
      <c r="A11" s="27" t="inlineStr">
        <is>
          <t>Total Investment CF</t>
        </is>
      </c>
      <c r="B11" s="28">
        <f>B10</f>
        <v/>
      </c>
      <c r="C11" s="28">
        <f>C10</f>
        <v/>
      </c>
      <c r="D11" s="28">
        <f>D10</f>
        <v/>
      </c>
      <c r="E11" s="28">
        <f>E10</f>
        <v/>
      </c>
      <c r="F11" s="28">
        <f>F10</f>
        <v/>
      </c>
      <c r="G11" s="28">
        <f>G10</f>
        <v/>
      </c>
    </row>
    <row r="13">
      <c r="A13" s="16" t="inlineStr">
        <is>
          <t>Financing Cash Flow</t>
        </is>
      </c>
    </row>
    <row r="14">
      <c r="A14" s="11" t="inlineStr">
        <is>
          <t xml:space="preserve">  Debt/Equity Issuance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</row>
    <row r="16">
      <c r="A16" s="40" t="inlineStr">
        <is>
          <t>Net Cash Flow</t>
        </is>
      </c>
      <c r="B16" s="41">
        <f>B7+B11+B14</f>
        <v/>
      </c>
      <c r="C16" s="41">
        <f>C7+C11+C14</f>
        <v/>
      </c>
      <c r="D16" s="41">
        <f>D7+D11+D14</f>
        <v/>
      </c>
      <c r="E16" s="41">
        <f>E7+E11+E14</f>
        <v/>
      </c>
      <c r="F16" s="41">
        <f>F7+F11+F14</f>
        <v/>
      </c>
      <c r="G16" s="41">
        <f>G7+G11+G14</f>
        <v/>
      </c>
    </row>
    <row r="17">
      <c r="A17" s="16" t="inlineStr">
        <is>
          <t>Ending Cash Balance</t>
        </is>
      </c>
      <c r="B17" s="18" t="n">
        <v>10000000000</v>
      </c>
      <c r="C17" s="8">
        <f>B17+C16</f>
        <v/>
      </c>
      <c r="D17" s="8">
        <f>C17+D16</f>
        <v/>
      </c>
      <c r="E17" s="8">
        <f>D17+E16</f>
        <v/>
      </c>
      <c r="F17" s="8">
        <f>E17+F16</f>
        <v/>
      </c>
      <c r="G17" s="8">
        <f>F17+G16</f>
        <v/>
      </c>
    </row>
    <row r="19">
      <c r="A19" s="20" t="inlineStr">
        <is>
          <t>💡 해석 가이드</t>
        </is>
      </c>
    </row>
    <row r="20">
      <c r="A20" s="11" t="inlineStr">
        <is>
          <t>• Operating CF = EBITDA (간단화, Working Capital 변화 생략)</t>
        </is>
      </c>
    </row>
    <row r="21">
      <c r="A21" s="11" t="inlineStr">
        <is>
          <t>• Investment CF = CAPEX (매출의 5% 가정)</t>
        </is>
      </c>
    </row>
    <row r="22">
      <c r="A22" s="11" t="inlineStr">
        <is>
          <t>• Ending Cash &lt; 0이면 추가 자금 조달 필요</t>
        </is>
      </c>
    </row>
  </sheetData>
  <mergeCells count="8">
    <mergeCell ref="A13:G13"/>
    <mergeCell ref="A1:G1"/>
    <mergeCell ref="A9:G9"/>
    <mergeCell ref="A21:G21"/>
    <mergeCell ref="A22:G22"/>
    <mergeCell ref="A20:G20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4" t="inlineStr">
        <is>
          <t>Key Financial Metrics</t>
        </is>
      </c>
    </row>
    <row r="2">
      <c r="A2" s="15" t="inlineStr">
        <is>
          <t>핵심 재무 비율 및 성장 지표</t>
        </is>
      </c>
    </row>
    <row r="4">
      <c r="A4" s="21" t="inlineStr">
        <is>
          <t>Metric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1. 성장 지표 (Growth Metrics)</t>
        </is>
      </c>
    </row>
    <row r="6">
      <c r="A6" s="17" t="inlineStr">
        <is>
          <t>Revenue</t>
        </is>
      </c>
      <c r="B6" s="8">
        <f>Revenue_Y0</f>
        <v/>
      </c>
      <c r="C6" s="8">
        <f>Revenue_Y1</f>
        <v/>
      </c>
      <c r="D6" s="8">
        <f>Revenue_Y2</f>
        <v/>
      </c>
      <c r="E6" s="8">
        <f>Revenue_Y3</f>
        <v/>
      </c>
      <c r="F6" s="8">
        <f>Revenue_Y4</f>
        <v/>
      </c>
      <c r="G6" s="8">
        <f>Revenue_Y5</f>
        <v/>
      </c>
    </row>
    <row r="7">
      <c r="A7" s="10" t="inlineStr">
        <is>
          <t xml:space="preserve">  YoY Growth %</t>
        </is>
      </c>
      <c r="C7" s="25">
        <f>(C6-B6)/B6</f>
        <v/>
      </c>
      <c r="D7" s="25">
        <f>(D6-C6)/C6</f>
        <v/>
      </c>
      <c r="E7" s="25">
        <f>(E6-D6)/D6</f>
        <v/>
      </c>
      <c r="F7" s="25">
        <f>(F6-E6)/E6</f>
        <v/>
      </c>
      <c r="G7" s="25">
        <f>(G6-F6)/F6</f>
        <v/>
      </c>
    </row>
    <row r="8">
      <c r="A8" s="10" t="inlineStr">
        <is>
          <t xml:space="preserve">  CAGR (Cumulative)</t>
        </is>
      </c>
      <c r="C8" s="42">
        <f>((C6/B6)^(1/1))-1</f>
        <v/>
      </c>
      <c r="D8" s="42">
        <f>((D6/B6)^(1/2))-1</f>
        <v/>
      </c>
      <c r="E8" s="42">
        <f>((E6/B6)^(1/3))-1</f>
        <v/>
      </c>
      <c r="F8" s="42">
        <f>((F6/B6)^(1/4))-1</f>
        <v/>
      </c>
      <c r="G8" s="42">
        <f>((G6/B6)^(1/5))-1</f>
        <v/>
      </c>
    </row>
    <row r="10">
      <c r="A10" s="16" t="inlineStr">
        <is>
          <t>2. Margin 지표 (Profitability)</t>
        </is>
      </c>
    </row>
    <row r="11">
      <c r="A11" s="17" t="inlineStr">
        <is>
          <t>Gross Margin %</t>
        </is>
      </c>
      <c r="B11" s="9">
        <f>GrossMarginTarget</f>
        <v/>
      </c>
      <c r="C11" s="9">
        <f>GrossMarginTarget</f>
        <v/>
      </c>
      <c r="D11" s="9">
        <f>GrossMarginTarget</f>
        <v/>
      </c>
      <c r="E11" s="9">
        <f>GrossMarginTarget</f>
        <v/>
      </c>
      <c r="F11" s="9">
        <f>GrossMarginTarget</f>
        <v/>
      </c>
      <c r="G11" s="9">
        <f>GrossMarginTarget</f>
        <v/>
      </c>
    </row>
    <row r="12">
      <c r="A12" s="17" t="inlineStr">
        <is>
          <t>EBITDA Margin %</t>
        </is>
      </c>
      <c r="B12" s="9">
        <f>EBITDA_Y0/Revenue_Y0</f>
        <v/>
      </c>
      <c r="C12" s="9">
        <f>EBITDA_Y1/Revenue_Y1</f>
        <v/>
      </c>
      <c r="D12" s="9">
        <f>EBITDA_Y2/Revenue_Y2</f>
        <v/>
      </c>
      <c r="E12" s="9">
        <f>EBITDA_Y3/Revenue_Y3</f>
        <v/>
      </c>
      <c r="F12" s="9">
        <f>EBITDA_Y4/Revenue_Y4</f>
        <v/>
      </c>
      <c r="G12" s="9">
        <f>EBITDA_Y5/Revenue_Y5</f>
        <v/>
      </c>
    </row>
    <row r="13">
      <c r="A13" s="20" t="inlineStr">
        <is>
          <t>Net Margin %</t>
        </is>
      </c>
      <c r="B13" s="43">
        <f>NetIncome_Y0/Revenue_Y0</f>
        <v/>
      </c>
      <c r="C13" s="43">
        <f>NetIncome_Y1/Revenue_Y1</f>
        <v/>
      </c>
      <c r="D13" s="43">
        <f>NetIncome_Y2/Revenue_Y2</f>
        <v/>
      </c>
      <c r="E13" s="43">
        <f>NetIncome_Y3/Revenue_Y3</f>
        <v/>
      </c>
      <c r="F13" s="43">
        <f>NetIncome_Y4/Revenue_Y4</f>
        <v/>
      </c>
      <c r="G13" s="43">
        <f>NetIncome_Y5/Revenue_Y5</f>
        <v/>
      </c>
    </row>
    <row r="15">
      <c r="A15" s="16" t="inlineStr">
        <is>
          <t>3. 효율성 지표 (Efficiency)</t>
        </is>
      </c>
    </row>
    <row r="16">
      <c r="A16" s="17" t="inlineStr">
        <is>
          <t>OPEX % of Revenue</t>
        </is>
      </c>
      <c r="B16" s="9">
        <f>SMPercent+RDPercent+GAPercent</f>
        <v/>
      </c>
      <c r="C16" s="9">
        <f>SMPercent+RDPercent+GAPercent</f>
        <v/>
      </c>
      <c r="D16" s="9">
        <f>SMPercent+RDPercent+GAPercent</f>
        <v/>
      </c>
      <c r="E16" s="9">
        <f>SMPercent+RDPercent+GAPercent</f>
        <v/>
      </c>
      <c r="F16" s="9">
        <f>SMPercent+RDPercent+GAPercent</f>
        <v/>
      </c>
      <c r="G16" s="9">
        <f>SMPercent+RDPercent+GAPercent</f>
        <v/>
      </c>
    </row>
    <row r="18">
      <c r="A18" s="16" t="inlineStr">
        <is>
          <t>📊 핵심 요약</t>
        </is>
      </c>
    </row>
    <row r="19">
      <c r="A19" s="17" t="inlineStr">
        <is>
          <t>Year 5 CAGR:</t>
        </is>
      </c>
      <c r="B19" s="43">
        <f>C8</f>
        <v/>
      </c>
    </row>
    <row r="20">
      <c r="A20" s="17" t="inlineStr">
        <is>
          <t>Year 5 Net Margin:</t>
        </is>
      </c>
      <c r="B20" s="43">
        <f>H13</f>
        <v/>
      </c>
    </row>
  </sheetData>
  <mergeCells count="6">
    <mergeCell ref="A1:G1"/>
    <mergeCell ref="A18:G18"/>
    <mergeCell ref="A2:G2"/>
    <mergeCell ref="A15:G15"/>
    <mergeCell ref="A10:G10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Financial Scenarios Analysis</t>
        </is>
      </c>
    </row>
    <row r="2">
      <c r="A2" s="15" t="inlineStr">
        <is>
          <t>Bear/Base/Bull 3가지 시나리오 비교</t>
        </is>
      </c>
    </row>
    <row r="4">
      <c r="A4" s="21" t="inlineStr">
        <is>
          <t>Metric (Year 5)</t>
        </is>
      </c>
      <c r="B4" s="21" t="inlineStr">
        <is>
          <t>Bear Case</t>
        </is>
      </c>
      <c r="C4" s="21" t="inlineStr">
        <is>
          <t>Base Case</t>
        </is>
      </c>
      <c r="D4" s="21" t="inlineStr">
        <is>
          <t>Bull Case</t>
        </is>
      </c>
      <c r="E4" s="21" t="inlineStr">
        <is>
          <t>Range</t>
        </is>
      </c>
    </row>
    <row r="5">
      <c r="A5" s="16" t="inlineStr">
        <is>
          <t>Growth Rate Adjustment</t>
        </is>
      </c>
    </row>
    <row r="6">
      <c r="A6" t="inlineStr">
        <is>
          <t>YoY Growth Rate</t>
        </is>
      </c>
      <c r="B6" s="9">
        <f>GrowthRateYoY*0.8</f>
        <v/>
      </c>
      <c r="C6" s="44">
        <f>GrowthRateYoY</f>
        <v/>
      </c>
      <c r="D6" s="9">
        <f>GrowthRateYoY*1.3</f>
        <v/>
      </c>
      <c r="E6" s="9">
        <f>D6-B6</f>
        <v/>
      </c>
    </row>
    <row r="8">
      <c r="A8" s="16" t="inlineStr">
        <is>
          <t>Year 5 Financial Results</t>
        </is>
      </c>
    </row>
    <row r="9">
      <c r="A9" s="20" t="inlineStr">
        <is>
          <t>Revenue (Year 5)</t>
        </is>
      </c>
      <c r="B9" s="8">
        <f>BaseRevenue*(1+GrowthRateYoY*0.8)^5</f>
        <v/>
      </c>
      <c r="C9" s="45">
        <f>Revenue_Y5</f>
        <v/>
      </c>
      <c r="D9" s="8">
        <f>BaseRevenue*(1+GrowthRateYoY*1.3)^5</f>
        <v/>
      </c>
      <c r="E9" s="8">
        <f>D9-B9</f>
        <v/>
      </c>
    </row>
    <row r="10">
      <c r="A10" s="17" t="inlineStr">
        <is>
          <t>EBITDA (Year 5)</t>
        </is>
      </c>
      <c r="B10" s="8">
        <f>B9*EBITDAMargin*0.9</f>
        <v/>
      </c>
      <c r="C10" s="45">
        <f>EBITDA_Y5</f>
        <v/>
      </c>
      <c r="D10" s="8">
        <f>D9*EBITDAMargin*1.1</f>
        <v/>
      </c>
      <c r="E10" s="8">
        <f>D10-B10</f>
        <v/>
      </c>
    </row>
    <row r="11">
      <c r="A11" s="20" t="inlineStr">
        <is>
          <t>Net Income (Year 5)</t>
        </is>
      </c>
      <c r="B11" s="8">
        <f>B9*NetMargin*0.8</f>
        <v/>
      </c>
      <c r="C11" s="45">
        <f>NetIncome_Y5</f>
        <v/>
      </c>
      <c r="D11" s="8">
        <f>D9*NetMargin*1.2</f>
        <v/>
      </c>
      <c r="E11" s="8">
        <f>D11-B11</f>
        <v/>
      </c>
    </row>
    <row r="13">
      <c r="A13" s="20" t="inlineStr">
        <is>
          <t>💡 시나리오 설명</t>
        </is>
      </c>
    </row>
    <row r="14">
      <c r="A14" s="11" t="inlineStr">
        <is>
          <t>• Bear Case: 성장률 -20%, EBITDA Margin -10%, Net Margin -20%</t>
        </is>
      </c>
    </row>
    <row r="15">
      <c r="A15" s="11" t="inlineStr">
        <is>
          <t>• Base Case: 현재 가정 유지 (가장 현실적 시나리오)</t>
        </is>
      </c>
    </row>
    <row r="16">
      <c r="A16" s="11" t="inlineStr">
        <is>
          <t>• Bull Case: 성장률 +30%, EBITDA Margin +10%, Net Margin +20%</t>
        </is>
      </c>
    </row>
  </sheetData>
  <mergeCells count="7">
    <mergeCell ref="A2:E2"/>
    <mergeCell ref="A16:E16"/>
    <mergeCell ref="A15:E15"/>
    <mergeCell ref="A8:E8"/>
    <mergeCell ref="A1:E1"/>
    <mergeCell ref="A5:E5"/>
    <mergeCell ref="A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4" t="inlineStr">
        <is>
          <t>Break-even Analysis</t>
        </is>
      </c>
    </row>
    <row r="2">
      <c r="A2" s="15" t="inlineStr">
        <is>
          <t>손익분기 매출 및 달성 시점 분석</t>
        </is>
      </c>
    </row>
    <row r="4">
      <c r="A4" s="16" t="inlineStr">
        <is>
          <t>비용 구조 (간단화)</t>
        </is>
      </c>
    </row>
    <row r="5">
      <c r="A5" s="17" t="inlineStr">
        <is>
          <t>Total Fixed Costs (연간)</t>
        </is>
      </c>
      <c r="B5" s="8">
        <f>BaseRevenue*(RDPercent+GAPercent)</f>
        <v/>
      </c>
      <c r="D5" t="inlineStr">
        <is>
          <t>R&amp;D + G&amp;A (고정비 가정)</t>
        </is>
      </c>
    </row>
    <row r="6">
      <c r="A6" s="17" t="inlineStr">
        <is>
          <t>Variable Cost Ratio</t>
        </is>
      </c>
      <c r="B6" s="9">
        <f>(1-GrossMarginTarget)+SMPercent</f>
        <v/>
      </c>
      <c r="D6" t="inlineStr">
        <is>
          <t>COGS + S&amp;M (변동비 가정)</t>
        </is>
      </c>
    </row>
    <row r="8">
      <c r="A8" s="16" t="inlineStr">
        <is>
          <t>손익분기 분석</t>
        </is>
      </c>
    </row>
    <row r="9">
      <c r="A9" s="3" t="inlineStr">
        <is>
          <t>Break-even Revenue</t>
        </is>
      </c>
      <c r="B9" s="46">
        <f>B5/(1-B6)</f>
        <v/>
      </c>
      <c r="C9" t="inlineStr">
        <is>
          <t>원</t>
        </is>
      </c>
    </row>
    <row r="11">
      <c r="A11" s="16" t="inlineStr">
        <is>
          <t>달성 시점 예측</t>
        </is>
      </c>
    </row>
    <row r="12">
      <c r="A12" s="17" t="inlineStr">
        <is>
          <t>Year 0</t>
        </is>
      </c>
      <c r="B12" s="8">
        <f>Revenue_Y0</f>
        <v/>
      </c>
      <c r="C12" s="8">
        <f>B12-B$9</f>
        <v/>
      </c>
      <c r="D12" s="11">
        <f>IF(B12&gt;=B$9, "✅ 손익분기 달성", "진행 중")</f>
        <v/>
      </c>
    </row>
    <row r="13">
      <c r="A13" s="17" t="inlineStr">
        <is>
          <t>Year 1</t>
        </is>
      </c>
      <c r="B13" s="8">
        <f>Revenue_Y1</f>
        <v/>
      </c>
      <c r="C13" s="8">
        <f>B13-B$9</f>
        <v/>
      </c>
      <c r="D13" s="11">
        <f>IF(B13&gt;=B$9, "✅ 손익분기 달성", "진행 중")</f>
        <v/>
      </c>
    </row>
    <row r="14">
      <c r="A14" s="17" t="inlineStr">
        <is>
          <t>Year 2</t>
        </is>
      </c>
      <c r="B14" s="8">
        <f>Revenue_Y2</f>
        <v/>
      </c>
      <c r="C14" s="8">
        <f>B14-B$9</f>
        <v/>
      </c>
      <c r="D14" s="11">
        <f>IF(B14&gt;=B$9, "✅ 손익분기 달성", "진행 중")</f>
        <v/>
      </c>
    </row>
    <row r="15">
      <c r="A15" s="17" t="inlineStr">
        <is>
          <t>Year 3</t>
        </is>
      </c>
      <c r="B15" s="8">
        <f>Revenue_Y3</f>
        <v/>
      </c>
      <c r="C15" s="8">
        <f>B15-B$9</f>
        <v/>
      </c>
      <c r="D15" s="11">
        <f>IF(B15&gt;=B$9, "✅ 손익분기 달성", "진행 중")</f>
        <v/>
      </c>
    </row>
    <row r="16">
      <c r="A16" s="17" t="inlineStr">
        <is>
          <t>Year 4</t>
        </is>
      </c>
      <c r="B16" s="8">
        <f>Revenue_Y4</f>
        <v/>
      </c>
      <c r="C16" s="8">
        <f>B16-B$9</f>
        <v/>
      </c>
      <c r="D16" s="11">
        <f>IF(B16&gt;=B$9, "✅ 손익분기 달성", "진행 중")</f>
        <v/>
      </c>
    </row>
    <row r="17">
      <c r="A17" s="17" t="inlineStr">
        <is>
          <t>Year 5</t>
        </is>
      </c>
      <c r="B17" s="8">
        <f>Revenue_Y5</f>
        <v/>
      </c>
      <c r="C17" s="8">
        <f>B17-B$9</f>
        <v/>
      </c>
      <c r="D17" s="11">
        <f>IF(B17&gt;=B$9, "✅ 손익분기 달성", "진행 중")</f>
        <v/>
      </c>
    </row>
    <row r="19">
      <c r="A19" s="20" t="inlineStr">
        <is>
          <t>💡 해석 가이드</t>
        </is>
      </c>
    </row>
    <row r="20">
      <c r="A20" s="11" t="inlineStr">
        <is>
          <t>• BEP = Fixed Costs / (1 - Variable Cost Ratio)</t>
        </is>
      </c>
    </row>
    <row r="21">
      <c r="A21" s="11" t="inlineStr">
        <is>
          <t>• 매출이 BEP 이상이면 손익분기 달성 (이익 발생)</t>
        </is>
      </c>
    </row>
    <row r="22">
      <c r="A22" s="11" t="inlineStr">
        <is>
          <t>• 간단화: R&amp;D+G&amp;A=고정비, COGS+S&amp;M=변동비로 가정</t>
        </is>
      </c>
    </row>
  </sheetData>
  <mergeCells count="8">
    <mergeCell ref="A1:D1"/>
    <mergeCell ref="A8:D8"/>
    <mergeCell ref="A22:D22"/>
    <mergeCell ref="A4:D4"/>
    <mergeCell ref="A20:D20"/>
    <mergeCell ref="A21:D21"/>
    <mergeCell ref="A2:D2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0" customWidth="1" min="4" max="4"/>
  </cols>
  <sheetData>
    <row r="1" ht="30" customHeight="1">
      <c r="A1" s="14" t="inlineStr">
        <is>
          <t>DCF Valuation (간단화)</t>
        </is>
      </c>
    </row>
    <row r="2">
      <c r="A2" s="15" t="inlineStr">
        <is>
          <t>Discounted Cash Flow 기업 가치 평가</t>
        </is>
      </c>
    </row>
    <row r="4">
      <c r="A4" s="16" t="inlineStr">
        <is>
          <t>DCF 가정</t>
        </is>
      </c>
    </row>
    <row r="5">
      <c r="A5" t="inlineStr">
        <is>
          <t>Discount Rate (WACC)</t>
        </is>
      </c>
      <c r="B5" s="9">
        <f>DiscountRate</f>
        <v/>
      </c>
      <c r="D5" t="inlineStr">
        <is>
          <t>Assumptions 시트에서 참조</t>
        </is>
      </c>
    </row>
    <row r="6">
      <c r="A6" t="inlineStr">
        <is>
          <t>Terminal Growth Rate</t>
        </is>
      </c>
      <c r="B6" s="19" t="n">
        <v>0.03</v>
      </c>
      <c r="D6" t="inlineStr">
        <is>
          <t>영구 성장률 (보수적 3%)</t>
        </is>
      </c>
    </row>
    <row r="8">
      <c r="A8" s="16" t="inlineStr">
        <is>
          <t>Free Cash Flow 현가</t>
        </is>
      </c>
    </row>
    <row r="9">
      <c r="A9" t="inlineStr">
        <is>
          <t>Year 1 FCF</t>
        </is>
      </c>
      <c r="B9" s="8">
        <f>EBITDA_Y1</f>
        <v/>
      </c>
      <c r="C9" s="8">
        <f>B9/((1+B$5)^1)</f>
        <v/>
      </c>
    </row>
    <row r="10">
      <c r="A10" t="inlineStr">
        <is>
          <t>Year 2 FCF</t>
        </is>
      </c>
      <c r="B10" s="8">
        <f>EBITDA_Y2</f>
        <v/>
      </c>
      <c r="C10" s="8">
        <f>B10/((1+B$5)^2)</f>
        <v/>
      </c>
    </row>
    <row r="11">
      <c r="A11" t="inlineStr">
        <is>
          <t>Year 3 FCF</t>
        </is>
      </c>
      <c r="B11" s="8">
        <f>EBITDA_Y3</f>
        <v/>
      </c>
      <c r="C11" s="8">
        <f>B11/((1+B$5)^3)</f>
        <v/>
      </c>
    </row>
    <row r="12">
      <c r="A12" t="inlineStr">
        <is>
          <t>Year 4 FCF</t>
        </is>
      </c>
      <c r="B12" s="8">
        <f>EBITDA_Y4</f>
        <v/>
      </c>
      <c r="C12" s="8">
        <f>B12/((1+B$5)^4)</f>
        <v/>
      </c>
    </row>
    <row r="13">
      <c r="A13" t="inlineStr">
        <is>
          <t>Year 5 FCF</t>
        </is>
      </c>
      <c r="B13" s="8">
        <f>EBITDA_Y5</f>
        <v/>
      </c>
      <c r="C13" s="8">
        <f>B13/((1+B$5)^5)</f>
        <v/>
      </c>
    </row>
    <row r="14">
      <c r="A14" s="20" t="inlineStr">
        <is>
          <t>PV of FCF (Year 1-5)</t>
        </is>
      </c>
      <c r="C14" s="47">
        <f>SUM(C9:C13)</f>
        <v/>
      </c>
    </row>
    <row r="16">
      <c r="A16" s="16" t="inlineStr">
        <is>
          <t>Terminal Value</t>
        </is>
      </c>
    </row>
    <row r="17">
      <c r="A17" t="inlineStr">
        <is>
          <t>Year 5 FCF</t>
        </is>
      </c>
      <c r="B17" s="8">
        <f>EBITDA_Y5</f>
        <v/>
      </c>
    </row>
    <row r="18">
      <c r="A18" t="inlineStr">
        <is>
          <t>Terminal Value</t>
        </is>
      </c>
      <c r="B18" s="31">
        <f>B17*(1+B$6)/(B$5-B$6)</f>
        <v/>
      </c>
    </row>
    <row r="19">
      <c r="A19" t="inlineStr">
        <is>
          <t>PV of Terminal Value</t>
        </is>
      </c>
      <c r="B19" s="47">
        <f>B18/((1+B$5)^5)</f>
        <v/>
      </c>
    </row>
    <row r="21">
      <c r="A21" s="39" t="inlineStr">
        <is>
          <t>Enterprise Value</t>
        </is>
      </c>
      <c r="B21" s="48">
        <f>C15+B19</f>
        <v/>
      </c>
      <c r="C21" t="inlineStr">
        <is>
          <t>원</t>
        </is>
      </c>
    </row>
    <row r="23">
      <c r="A23" s="20" t="inlineStr">
        <is>
          <t>💡 해석 가이드</t>
        </is>
      </c>
    </row>
    <row r="24">
      <c r="A24" s="11" t="inlineStr">
        <is>
          <t>• 간단화: FCF ≈ EBITDA (CAPEX, Working Capital 무시)</t>
        </is>
      </c>
    </row>
    <row r="25">
      <c r="A25" s="11" t="inlineStr">
        <is>
          <t>• Terminal Value = 영구 현금흐름의 현재 가치</t>
        </is>
      </c>
    </row>
    <row r="26">
      <c r="A26" s="11" t="inlineStr">
        <is>
          <t>• Enterprise Value = 기업의 총 가치 (부채 제외 전)</t>
        </is>
      </c>
    </row>
  </sheetData>
  <mergeCells count="5">
    <mergeCell ref="A1:D1"/>
    <mergeCell ref="A26:D26"/>
    <mergeCell ref="A25:D25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2025-11-04T07:31:26Z</dcterms:created>
  <dcterms:modified xmlns:dcterms="http://purl.org/dc/terms/" xmlns:xsi="http://www.w3.org/2001/XMLSchema-instance" xsi:type="dcterms:W3CDTF">2025-11-04T07:31:26Z</dcterms:modified>
</cp:coreProperties>
</file>