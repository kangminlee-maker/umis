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Conv_AvgSAM">'Convergence_Analysis'!$B$8</definedName>
    <definedName name="Conv_StdDev">'Convergence_Analysis'!$B$9</definedName>
    <definedName name="Conv_CV">'Convergence_Analysis'!$B$10</definedName>
    <definedName name="Conv_MaxMin">'Convergence_Analysis'!$B$11</definedName>
    <definedName name="Conv_Status">'Convergence_Analysis'!$B$12</definedName>
    <definedName name="AvgSAM_Best">'Scenarios'!$B$22</definedName>
    <definedName name="AvgSAM_Base">'Scenarios'!$C$22</definedName>
    <definedName name="AvgSAM_Worst">'Scenarios'!$D$22</definedName>
    <definedName name="Val_TotalItems">'Validation_Log'!$B$15</definedName>
    <definedName name="Val_Validated">'Validation_Log'!$B$16</definedName>
    <definedName name="Val_Pending">'Validation_Log'!$B$17</definedName>
    <definedName name="Val_CompletionRate">'Validation_Log'!$B$18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</t>
      </text>
    </comment>
    <comment ref="B6" authorId="0" shapeId="0">
      <text>
        <t>한국 15%
출처: FILTER_KOREA</t>
      </text>
    </comment>
    <comment ref="C6" authorId="0" shapeId="0">
      <text>
        <t>피아노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Conv_AvgSAM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B10/$B6*100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B11/$B6*100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B12/$B6*100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B13/$B6*100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Conv_MaxMin</f>
        <v/>
      </c>
    </row>
    <row r="17">
      <c r="A17" s="4" t="inlineStr">
        <is>
          <t>Convergence Status:</t>
        </is>
      </c>
      <c r="B17" s="11">
        <f>Conv_Status</f>
        <v/>
      </c>
    </row>
    <row r="18">
      <c r="A18" s="4" t="inlineStr">
        <is>
          <t>Standard Deviation:</t>
        </is>
      </c>
      <c r="B18" s="8">
        <f>Conv_StdDev</f>
        <v/>
      </c>
    </row>
    <row r="19">
      <c r="A19" s="4" t="inlineStr">
        <is>
          <t>Coefficient of Variation (CV%):</t>
        </is>
      </c>
      <c r="B19" s="9">
        <f>Conv_CV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Val_TotalItems</f>
        <v/>
      </c>
    </row>
    <row r="30">
      <c r="A30" s="4" t="inlineStr">
        <is>
          <t>Validated:</t>
        </is>
      </c>
      <c r="B30" s="15">
        <f>Val_Validated</f>
        <v/>
      </c>
    </row>
    <row r="31">
      <c r="A31" s="4" t="inlineStr">
        <is>
          <t>Pending:</t>
        </is>
      </c>
      <c r="B31" s="16">
        <f>Val_Pending</f>
        <v/>
      </c>
    </row>
    <row r="32">
      <c r="A32" s="4" t="inlineStr">
        <is>
          <t>Completion Rate:</t>
        </is>
      </c>
      <c r="B32" s="11">
        <f>Val_CompletionRate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C2" t="inlineStr">
        <is>
          <t>악기 판매 데이터 기반</t>
        </is>
      </c>
      <c r="D2" t="inlineStr">
        <is>
          <t>전체 악기 중 피아노</t>
        </is>
      </c>
      <c r="E2" t="inlineStr">
        <is>
          <t>판매 비중 25%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C3" t="inlineStr">
        <is>
          <t>시장 조사</t>
        </is>
      </c>
      <c r="D3" t="inlineStr">
        <is>
          <t>인구 통계</t>
        </is>
      </c>
      <c r="E3" t="inlineStr">
        <is>
          <t>타겟 고객 산정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C4" t="inlineStr">
        <is>
          <t>업계 평균</t>
        </is>
      </c>
      <c r="D4" t="inlineStr">
        <is>
          <t>유사 서비스</t>
        </is>
      </c>
      <c r="E4" t="inlineStr">
        <is>
          <t>전환율 20%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C5" t="inlineStr">
        <is>
          <t>시장 상관성</t>
        </is>
      </c>
      <c r="D5" t="inlineStr">
        <is>
          <t>유사 시장 비교</t>
        </is>
      </c>
      <c r="E5" t="inlineStr">
        <is>
          <t>상관계수 0.3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C6" t="inlineStr">
        <is>
          <t>적용 가능성</t>
        </is>
      </c>
      <c r="D6" t="inlineStr">
        <is>
          <t>시장 특성</t>
        </is>
      </c>
      <c r="E6" t="inlineStr">
        <is>
          <t>50% 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C7" t="inlineStr">
        <is>
          <t>시장 분석</t>
        </is>
      </c>
      <c r="D7" t="inlineStr">
        <is>
          <t>매출 데이터</t>
        </is>
      </c>
      <c r="E7" t="inlineStr">
        <is>
          <t>점유율 40%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(B4-$B$8)/$B$8*100</f>
        <v/>
      </c>
    </row>
    <row r="5">
      <c r="A5" t="inlineStr">
        <is>
          <t>Method_2_BottomUp</t>
        </is>
      </c>
      <c r="B5" s="8">
        <f>SAM_Method2</f>
        <v/>
      </c>
      <c r="C5" s="9">
        <f>(B5-$B$8)/$B$8*100</f>
        <v/>
      </c>
    </row>
    <row r="6">
      <c r="A6" t="inlineStr">
        <is>
          <t>Method_3_Proxy</t>
        </is>
      </c>
      <c r="B6" s="8">
        <f>SAM_Method3</f>
        <v/>
      </c>
      <c r="C6" s="9">
        <f>(B6-$B$8)/$B$8*100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(B7-$B$8)/$B$8*100</f>
        <v/>
      </c>
    </row>
    <row r="8">
      <c r="A8" s="27" t="inlineStr">
        <is>
          <t>평균</t>
        </is>
      </c>
      <c r="B8" s="30">
        <f>AVERAGE(B4:B7)</f>
        <v/>
      </c>
    </row>
    <row r="9">
      <c r="A9" t="inlineStr">
        <is>
          <t>표준편차</t>
        </is>
      </c>
      <c r="B9" s="8">
        <f>STDEV(B4:B7)</f>
        <v/>
      </c>
    </row>
    <row r="10">
      <c r="A10" t="inlineStr">
        <is>
          <t>변동계수 (CV%)</t>
        </is>
      </c>
      <c r="B10" s="9">
        <f>Conv_StdDev/Conv_AvgSAM*100</f>
        <v/>
      </c>
    </row>
    <row r="11">
      <c r="A11" t="inlineStr">
        <is>
          <t>Max/Min 비율</t>
        </is>
      </c>
      <c r="B11" s="31">
        <f>MAX(B4:B7)/MIN(B4:B7)</f>
        <v/>
      </c>
    </row>
    <row r="12">
      <c r="A12" s="27" t="inlineStr">
        <is>
          <t>±30% 수렴?</t>
        </is>
      </c>
      <c r="B12" s="27">
        <f>IF(Conv_MaxMin&lt;=1.3,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19:11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2025-11-04T10:11:28Z</dcterms:created>
  <dcterms:modified xmlns:dcterms="http://purl.org/dc/terms/" xmlns:xsi="http://www.w3.org/2001/XMLSchema-instance" xsi:type="dcterms:W3CDTF">2025-11-04T10:11:28Z</dcterms:modified>
</cp:coreProperties>
</file>