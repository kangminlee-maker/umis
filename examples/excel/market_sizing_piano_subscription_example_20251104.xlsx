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M2_Seg1_SAM">'Method_2_BottomUp'!$F$4</definedName>
    <definedName name="SAM_Method2">'Method_2_BottomUp'!$F$6</definedName>
    <definedName name="SAM_Method3">'Method_3_Proxy'!$B$7</definedName>
    <definedName name="M4_Comp1_Rev">'Method_4_CompetitorRevenue'!$B$4</definedName>
    <definedName name="M4_Comp1_Share">'Method_4_CompetitorRevenue'!$C$4</definedName>
    <definedName name="SAM_Method4">'Method_4_CompetitorRevenue'!$B$7</definedName>
    <definedName name="Conv_SAM_Method1">'Convergence_Analysis'!$B$4</definedName>
    <definedName name="Conv_SAM_Method2">'Convergence_Analysis'!$B$5</definedName>
    <definedName name="Conv_SAM_Method3">'Convergence_Analysis'!$B$6</definedName>
    <definedName name="Conv_SAM_Method4">'Convergence_Analysis'!$B$7</definedName>
    <definedName name="Conv_AvgSAM">'Convergence_Analysis'!$B$8</definedName>
    <definedName name="Conv_StdDev">'Convergence_Analysis'!$B$9</definedName>
    <definedName name="Conv_CV">'Convergence_Analysis'!$B$10</definedName>
    <definedName name="Conv_MaxMin">'Convergence_Analysis'!$B$11</definedName>
    <definedName name="Conv_Status">'Convergence_Analysis'!$B$12</definedName>
    <definedName name="Scen_Method1_Best">'Scenarios'!$B$17</definedName>
    <definedName name="Scen_Method1_Base">'Scenarios'!$C$17</definedName>
    <definedName name="Scen_Method1_Worst">'Scenarios'!$D$17</definedName>
    <definedName name="Scen_Method2_Best">'Scenarios'!$B$18</definedName>
    <definedName name="Scen_Method2_Base">'Scenarios'!$C$18</definedName>
    <definedName name="Scen_Method2_Worst">'Scenarios'!$D$18</definedName>
    <definedName name="Scen_Method3_Best">'Scenarios'!$B$19</definedName>
    <definedName name="Scen_Method3_Base">'Scenarios'!$C$19</definedName>
    <definedName name="Scen_Method3_Worst">'Scenarios'!$D$19</definedName>
    <definedName name="Scen_Method4_Best">'Scenarios'!$B$20</definedName>
    <definedName name="Scen_Method4_Base">'Scenarios'!$C$20</definedName>
    <definedName name="Scen_Method4_Worst">'Scenarios'!$D$20</definedName>
    <definedName name="AvgSAM_Best">'Scenarios'!$B$22</definedName>
    <definedName name="AvgSAM_Base">'Scenarios'!$C$22</definedName>
    <definedName name="AvgSAM_Worst">'Scenarios'!$D$22</definedName>
    <definedName name="Val_TotalItems">'Validation_Log'!$B$15</definedName>
    <definedName name="Val_Validated">'Validation_Log'!$B$16</definedName>
    <definedName name="Val_Pending">'Validation_Log'!$B$17</definedName>
    <definedName name="Val_CompletionRate">'Validation_Log'!$B$18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20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Bill</author>
  </authors>
  <commentList>
    <comment ref="A5" authorId="0" shapeId="0">
      <text>
        <t>출처: TAM_VALUE
글로벌 악기</t>
      </text>
    </comment>
    <comment ref="B6" authorId="0" shapeId="0">
      <text>
        <t>한국 15%
출처: FILTER_KOREA</t>
      </text>
    </comment>
    <comment ref="C6" authorId="0" shapeId="0">
      <text>
        <t>피아노 25%
출처: FILTER_PIANO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>
        <f>TAM</f>
        <v/>
      </c>
    </row>
    <row r="6">
      <c r="A6" s="4" t="inlineStr">
        <is>
          <t>Serviceable Addressable Market (SAM):</t>
        </is>
      </c>
      <c r="B6" s="6">
        <f>Conv_AvgSAM</f>
        <v/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>
        <f>SAM</f>
        <v/>
      </c>
      <c r="C10" s="9">
        <f>B10/$B6*100</f>
        <v/>
      </c>
    </row>
    <row r="11">
      <c r="A11" s="4" t="inlineStr">
        <is>
          <t>Method 2: Bottom-Up</t>
        </is>
      </c>
      <c r="B11" s="8">
        <f>SAM_Method2</f>
        <v/>
      </c>
      <c r="C11" s="9">
        <f>B11/$B6*100</f>
        <v/>
      </c>
    </row>
    <row r="12">
      <c r="A12" s="4" t="inlineStr">
        <is>
          <t>Method 3: Proxy</t>
        </is>
      </c>
      <c r="B12" s="8">
        <f>SAM_Method3</f>
        <v/>
      </c>
      <c r="C12" s="9">
        <f>B12/$B6*100</f>
        <v/>
      </c>
    </row>
    <row r="13">
      <c r="A13" s="4" t="inlineStr">
        <is>
          <t>Method 4: Competitor Revenue</t>
        </is>
      </c>
      <c r="B13" s="8">
        <f>SAM_Method4</f>
        <v/>
      </c>
      <c r="C13" s="9">
        <f>B13/$B6*100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Conv_MaxMin</f>
        <v/>
      </c>
    </row>
    <row r="17">
      <c r="A17" s="4" t="inlineStr">
        <is>
          <t>Convergence Status:</t>
        </is>
      </c>
      <c r="B17" s="11">
        <f>Conv_Status</f>
        <v/>
      </c>
    </row>
    <row r="18">
      <c r="A18" s="4" t="inlineStr">
        <is>
          <t>Standard Deviation:</t>
        </is>
      </c>
      <c r="B18" s="8">
        <f>Conv_StdDev</f>
        <v/>
      </c>
    </row>
    <row r="19">
      <c r="A19" s="4" t="inlineStr">
        <is>
          <t>Coefficient of Variation (CV%):</t>
        </is>
      </c>
      <c r="B19" s="9">
        <f>Conv_CV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AvgSAM_Best</f>
        <v/>
      </c>
    </row>
    <row r="24">
      <c r="A24" s="4" t="inlineStr">
        <is>
          <t>Base Case (Current)</t>
        </is>
      </c>
      <c r="B24" s="13">
        <f>AvgSAM_Base</f>
        <v/>
      </c>
    </row>
    <row r="25">
      <c r="A25" s="4" t="inlineStr">
        <is>
          <t>Worst Case (-15%)</t>
        </is>
      </c>
      <c r="B25" s="14">
        <f>AvgSAM_Worst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Val_TotalItems</f>
        <v/>
      </c>
    </row>
    <row r="30">
      <c r="A30" s="4" t="inlineStr">
        <is>
          <t>Validated:</t>
        </is>
      </c>
      <c r="B30" s="15">
        <f>Val_Validated</f>
        <v/>
      </c>
    </row>
    <row r="31">
      <c r="A31" s="4" t="inlineStr">
        <is>
          <t>Pending:</t>
        </is>
      </c>
      <c r="B31" s="16">
        <f>Val_Pending</f>
        <v/>
      </c>
    </row>
    <row r="32">
      <c r="A32" s="4" t="inlineStr">
        <is>
          <t>Completion Rate:</t>
        </is>
      </c>
      <c r="B32" s="11">
        <f>Val_CompletionRate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8:C8"/>
    <mergeCell ref="A1:F1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  <c r="I2" t="inlineStr"/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  <c r="I3" t="inlineStr"/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  <c r="I4" t="inlineStr"/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  <c r="I5" t="inlineStr"/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  <c r="I6" t="inlineStr"/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  <c r="I7" t="inlineStr"/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빈도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  <c r="I8" t="inlineStr"/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유사시장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  <c r="I9" t="inlineStr"/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</t>
        </is>
      </c>
      <c r="D10" s="20" t="n">
        <v>0.3</v>
      </c>
      <c r="E10" t="inlineStr"/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  <c r="I10" t="inlineStr"/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  <c r="I11" t="inlineStr"/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  <c r="I12" t="inlineStr"/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  <c r="I13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</t>
        </is>
      </c>
      <c r="C2" t="inlineStr">
        <is>
          <t>악기 판매 데이터 기반</t>
        </is>
      </c>
      <c r="D2" t="inlineStr">
        <is>
          <t>전체 악기 중 피아노</t>
        </is>
      </c>
      <c r="E2" t="inlineStr">
        <is>
          <t>판매 비중 25%</t>
        </is>
      </c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</t>
        </is>
      </c>
      <c r="C3" t="inlineStr">
        <is>
          <t>시장 조사</t>
        </is>
      </c>
      <c r="D3" t="inlineStr">
        <is>
          <t>인구 통계</t>
        </is>
      </c>
      <c r="E3" t="inlineStr">
        <is>
          <t>타겟 고객 산정</t>
        </is>
      </c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전환율</t>
        </is>
      </c>
      <c r="C4" t="inlineStr">
        <is>
          <t>업계 평균</t>
        </is>
      </c>
      <c r="D4" t="inlineStr">
        <is>
          <t>유사 서비스</t>
        </is>
      </c>
      <c r="E4" t="inlineStr">
        <is>
          <t>전환율 20%</t>
        </is>
      </c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</t>
        </is>
      </c>
      <c r="C5" t="inlineStr">
        <is>
          <t>시장 상관성</t>
        </is>
      </c>
      <c r="D5" t="inlineStr">
        <is>
          <t>유사 시장 비교</t>
        </is>
      </c>
      <c r="E5" t="inlineStr">
        <is>
          <t>상관계수 0.3</t>
        </is>
      </c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</t>
        </is>
      </c>
      <c r="C6" t="inlineStr">
        <is>
          <t>적용 가능성</t>
        </is>
      </c>
      <c r="D6" t="inlineStr">
        <is>
          <t>시장 특성</t>
        </is>
      </c>
      <c r="E6" t="inlineStr">
        <is>
          <t>50% 적용</t>
        </is>
      </c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점유율</t>
        </is>
      </c>
      <c r="C7" t="inlineStr">
        <is>
          <t>시장 분석</t>
        </is>
      </c>
      <c r="D7" t="inlineStr">
        <is>
          <t>매출 데이터</t>
        </is>
      </c>
      <c r="E7" t="inlineStr">
        <is>
          <t>점유율 40%</t>
        </is>
      </c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</t>
        </is>
      </c>
      <c r="B4" t="inlineStr">
        <is>
          <t>한국 15%</t>
        </is>
      </c>
      <c r="C4" t="inlineStr">
        <is>
          <t>피아노 25%</t>
        </is>
      </c>
    </row>
    <row r="5">
      <c r="A5" s="25">
        <f>TAM_VALUE</f>
        <v/>
      </c>
      <c r="B5">
        <f>FILTER_KOREA</f>
        <v/>
      </c>
      <c r="C5">
        <f>FILTER_PIANO</f>
        <v/>
      </c>
    </row>
    <row r="6">
      <c r="B6" s="25">
        <f>A5*B5</f>
        <v/>
      </c>
      <c r="C6" s="26">
        <f>B6*C5</f>
        <v/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</t>
        </is>
      </c>
      <c r="B4">
        <f>SEG1_CUSTOMERS</f>
        <v/>
      </c>
      <c r="C4">
        <f>SEG1_RATE</f>
        <v/>
      </c>
      <c r="D4">
        <f>SEG1_AOV</f>
        <v/>
      </c>
      <c r="E4">
        <f>SEG1_FREQ</f>
        <v/>
      </c>
      <c r="F4" s="25">
        <f>B4*C4*D4*E4</f>
        <v/>
      </c>
    </row>
    <row r="6">
      <c r="A6" s="27" t="inlineStr">
        <is>
          <t>Total SAM</t>
        </is>
      </c>
      <c r="F6" s="26">
        <f>M2_Seg1_SAM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>
        <f>PROXY_SIZE</f>
        <v/>
      </c>
    </row>
    <row r="4">
      <c r="A4" t="inlineStr">
        <is>
          <t>Correlation Coefficient</t>
        </is>
      </c>
      <c r="B4" s="28">
        <f>PROXY_CORR</f>
        <v/>
      </c>
    </row>
    <row r="5">
      <c r="A5" t="inlineStr">
        <is>
          <t>Application Rate</t>
        </is>
      </c>
      <c r="B5" s="28">
        <f>PROXY_APP</f>
        <v/>
      </c>
    </row>
    <row r="7">
      <c r="A7" s="27" t="inlineStr">
        <is>
          <t>SAM (Proxy)</t>
        </is>
      </c>
      <c r="B7" s="26">
        <f>B3*B4*B5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>
        <f>COMP1_REV</f>
        <v/>
      </c>
      <c r="C4" s="28">
        <f>COMP1_SHARE</f>
        <v/>
      </c>
    </row>
    <row r="5">
      <c r="A5" s="27" t="inlineStr">
        <is>
          <t>Total</t>
        </is>
      </c>
      <c r="B5" s="27">
        <f>M4_Comp1_Rev</f>
        <v/>
      </c>
      <c r="C5" s="27">
        <f>M4_Comp1_Share</f>
        <v/>
      </c>
    </row>
    <row r="7">
      <c r="A7" s="27" t="inlineStr">
        <is>
          <t>SAM (역산)</t>
        </is>
      </c>
      <c r="B7" s="26">
        <f>B5/C5</f>
        <v/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>
        <f>SAM</f>
        <v/>
      </c>
      <c r="C4" s="9">
        <f>(B4-Conv_AvgSAM)/Conv_AvgSAM*100</f>
        <v/>
      </c>
    </row>
    <row r="5">
      <c r="A5" t="inlineStr">
        <is>
          <t>Method_2_BottomUp</t>
        </is>
      </c>
      <c r="B5" s="8">
        <f>SAM_Method2</f>
        <v/>
      </c>
      <c r="C5" s="9">
        <f>(B5-Conv_AvgSAM)/Conv_AvgSAM*100</f>
        <v/>
      </c>
    </row>
    <row r="6">
      <c r="A6" t="inlineStr">
        <is>
          <t>Method_3_Proxy</t>
        </is>
      </c>
      <c r="B6" s="8">
        <f>SAM_Method3</f>
        <v/>
      </c>
      <c r="C6" s="9">
        <f>(B6-Conv_AvgSAM)/Conv_AvgSAM*100</f>
        <v/>
      </c>
    </row>
    <row r="7">
      <c r="A7" t="inlineStr">
        <is>
          <t>Method_4_CompetitorRevenue</t>
        </is>
      </c>
      <c r="B7" s="8">
        <f>SAM_Method4</f>
        <v/>
      </c>
      <c r="C7" s="9">
        <f>(B7-Conv_AvgSAM)/Conv_AvgSAM*100</f>
        <v/>
      </c>
    </row>
    <row r="8">
      <c r="A8" s="27" t="inlineStr">
        <is>
          <t>평균</t>
        </is>
      </c>
      <c r="B8" s="30">
        <f>AVERAGE(Conv_SAM_Method1,Conv_SAM_Method2,Conv_SAM_Method3,Conv_SAM_Method4)</f>
        <v/>
      </c>
    </row>
    <row r="9">
      <c r="A9" t="inlineStr">
        <is>
          <t>표준편차</t>
        </is>
      </c>
      <c r="B9" s="8">
        <f>STDEV(Conv_SAM_Method1,Conv_SAM_Method2,Conv_SAM_Method3,Conv_SAM_Method4)</f>
        <v/>
      </c>
    </row>
    <row r="10">
      <c r="A10" t="inlineStr">
        <is>
          <t>변동계수 (CV%)</t>
        </is>
      </c>
      <c r="B10" s="9">
        <f>Conv_StdDev/Conv_AvgSAM*100</f>
        <v/>
      </c>
    </row>
    <row r="11">
      <c r="A11" t="inlineStr">
        <is>
          <t>Max/Min 비율</t>
        </is>
      </c>
      <c r="B11" s="31">
        <f>MAX(Conv_SAM_Method1,Conv_SAM_Method2,Conv_SAM_Method3,Conv_SAM_Method4)/MIN(Conv_SAM_Method1,Conv_SAM_Method2,Conv_SAM_Method3,Conv_SAM_Method4)</f>
        <v/>
      </c>
    </row>
    <row r="12">
      <c r="A12" s="27" t="inlineStr">
        <is>
          <t>±30% 수렴?</t>
        </is>
      </c>
      <c r="B12" s="27">
        <f>IF(Conv_MaxMin&lt;=1.3, "✅ 통과", "❌ 재검토 필요")</f>
        <v/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SAM*1.15</f>
        <v/>
      </c>
      <c r="C17" s="8">
        <f>SAM</f>
        <v/>
      </c>
      <c r="D17" s="8">
        <f>SAM*0.85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SAM_Method2*1.15</f>
        <v/>
      </c>
      <c r="C18" s="8">
        <f>SAM_Method2</f>
        <v/>
      </c>
      <c r="D18" s="8">
        <f>SAM_Method2*0.85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SAM_Method3*1.15</f>
        <v/>
      </c>
      <c r="C19" s="8">
        <f>SAM_Method3</f>
        <v/>
      </c>
      <c r="D19" s="8">
        <f>SAM_Method3*0.85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SAM_Method4*1.15</f>
        <v/>
      </c>
      <c r="C20" s="8">
        <f>SAM_Method4</f>
        <v/>
      </c>
      <c r="D20" s="8">
        <f>SAM_Method4*0.85</f>
        <v/>
      </c>
      <c r="E20" s="8">
        <f>B20-D20</f>
        <v/>
      </c>
    </row>
    <row r="22">
      <c r="A22" s="33" t="inlineStr">
        <is>
          <t>Average SAM</t>
        </is>
      </c>
      <c r="B22" s="34">
        <f>AVERAGE(Scen_Method1_Best,Scen_Method2_Best,Scen_Method3_Best,Scen_Method4_Best)</f>
        <v/>
      </c>
      <c r="C22" s="34">
        <f>AVERAGE(Scen_Method1_Base,Scen_Method2_Base,Scen_Method3_Base,Scen_Method4_Base)</f>
        <v/>
      </c>
      <c r="D22" s="34">
        <f>AVERAGE(Scen_Method1_Worst,Scen_Method2_Worst,Scen_Method3_Worst,Scen_Method4_Worst)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19:45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2025-11-04T10:45:00Z</dcterms:created>
  <dcterms:modified xmlns:dcterms="http://purl.org/dc/terms/" xmlns:xsi="http://www.w3.org/2001/XMLSchema-instance" xsi:type="dcterms:W3CDTF">2025-11-04T10:45:00Z</dcterms:modified>
</cp:coreProperties>
</file>