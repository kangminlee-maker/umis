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AvgSAM_Best">'Scenarios'!$B$22</definedName>
    <definedName name="AvgSAM_Base">'Scenarios'!$C$22</definedName>
    <definedName name="AvgSAM_Worst">'Scenarios'!$D$22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 시장</t>
      </text>
    </comment>
    <comment ref="B6" authorId="0" shapeId="0">
      <text>
        <t>한국 비중 15%
출처: FILTER_KOREA</t>
      </text>
    </comment>
    <comment ref="C6" authorId="0" shapeId="0">
      <text>
        <t>피아노만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Convergence_Analysis!B8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B10/B7*100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B11/B7*100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B12/B7*100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Convergence_Analysis!B11</f>
        <v/>
      </c>
    </row>
    <row r="17">
      <c r="A17" s="4" t="inlineStr">
        <is>
          <t>Convergence Status:</t>
        </is>
      </c>
      <c r="B17" s="11">
        <f>Convergence_Analysis!B12</f>
        <v/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9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 시장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 비중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 비중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 고객 수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구독 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월 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연간 결제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 시장 규모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상관계수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 비율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경쟁사A 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시장 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 비중</t>
        </is>
      </c>
      <c r="C2" t="inlineStr"/>
      <c r="D2" t="inlineStr"/>
      <c r="E2" t="inlineStr"/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 고객 수</t>
        </is>
      </c>
      <c r="C3" t="inlineStr"/>
      <c r="D3" t="inlineStr"/>
      <c r="E3" t="inlineStr"/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구독 전환율</t>
        </is>
      </c>
      <c r="C4" t="inlineStr"/>
      <c r="D4" t="inlineStr"/>
      <c r="E4" t="inlineStr"/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상관계수</t>
        </is>
      </c>
      <c r="C5" t="inlineStr"/>
      <c r="D5" t="inlineStr"/>
      <c r="E5" t="inlineStr"/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 비율</t>
        </is>
      </c>
      <c r="C6" t="inlineStr"/>
      <c r="D6" t="inlineStr"/>
      <c r="E6" t="inlineStr"/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시장 점유율</t>
        </is>
      </c>
      <c r="C7" t="inlineStr"/>
      <c r="D7" t="inlineStr"/>
      <c r="E7" t="inlineStr"/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 시장</t>
        </is>
      </c>
      <c r="B4" t="inlineStr">
        <is>
          <t>한국 비중 15%</t>
        </is>
      </c>
      <c r="C4" t="inlineStr">
        <is>
          <t>피아노만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 구독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SUM(F4:F4)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SUM(B4:B4)</f>
        <v/>
      </c>
      <c r="C5" s="27">
        <f>SUM(C4:C4)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(B4-$B$8)/$B$8*100</f>
        <v/>
      </c>
    </row>
    <row r="5">
      <c r="A5" t="inlineStr">
        <is>
          <t>Method_2_BottomUp</t>
        </is>
      </c>
      <c r="B5" s="8">
        <f>SAM_Method2</f>
        <v/>
      </c>
      <c r="C5" s="9">
        <f>(B5-$B$8)/$B$8*100</f>
        <v/>
      </c>
    </row>
    <row r="6">
      <c r="A6" t="inlineStr">
        <is>
          <t>Method_3_Proxy</t>
        </is>
      </c>
      <c r="B6" s="8">
        <f>SAM_Method3</f>
        <v/>
      </c>
      <c r="C6" s="9">
        <f>(B6-$B$8)/$B$8*100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(B7-$B$8)/$B$8*100</f>
        <v/>
      </c>
    </row>
    <row r="8">
      <c r="A8" s="27" t="inlineStr">
        <is>
          <t>평균</t>
        </is>
      </c>
      <c r="B8" s="30">
        <f>AVERAGE(B4:B7)</f>
        <v/>
      </c>
    </row>
    <row r="9">
      <c r="A9" t="inlineStr">
        <is>
          <t>표준편차</t>
        </is>
      </c>
      <c r="B9" s="8">
        <f>STDEV(B4:B7)</f>
        <v/>
      </c>
    </row>
    <row r="10">
      <c r="A10" t="inlineStr">
        <is>
          <t>변동계수 (CV%)</t>
        </is>
      </c>
      <c r="B10" s="9">
        <f>B9/B8*100</f>
        <v/>
      </c>
    </row>
    <row r="11">
      <c r="A11" t="inlineStr">
        <is>
          <t>Max/Min 비율</t>
        </is>
      </c>
      <c r="B11" s="31">
        <f>MAX(B4:B7)/MIN(B4:B7)</f>
        <v/>
      </c>
    </row>
    <row r="12">
      <c r="A12" s="27" t="inlineStr">
        <is>
          <t>±30% 수렴?</t>
        </is>
      </c>
      <c r="B12" s="27">
        <f>IF(B11&lt;=1.3,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17:13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2025-11-04T08:13:29Z</dcterms:created>
  <dcterms:modified xmlns:dcterms="http://purl.org/dc/terms/" xmlns:xsi="http://www.w3.org/2001/XMLSchema-instance" xsi:type="dcterms:W3CDTF">2025-11-04T08:13:29Z</dcterms:modified>
</cp:coreProperties>
</file>