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AvgSAM_Best">'Scenarios'!$B$22</definedName>
    <definedName name="AvgSAM_Base">'Scenarios'!$C$22</definedName>
    <definedName name="AvgSAM_Worst">'Scenarios'!$D$22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20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Bill</author>
  </authors>
  <commentList>
    <comment ref="A5" authorId="0" shapeId="0">
      <text>
        <t>출처: TAM_VALUE
글로벌 악기</t>
      </text>
    </comment>
    <comment ref="B6" authorId="0" shapeId="0">
      <text>
        <t>한국 15%
출처: FILTER_KOREA</t>
      </text>
    </comment>
    <comment ref="C6" authorId="0" shapeId="0">
      <text>
        <t>피아노 25%
출처: FILTER_PIANO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>
        <f>TAM</f>
        <v/>
      </c>
    </row>
    <row r="6">
      <c r="A6" s="4" t="inlineStr">
        <is>
          <t>Serviceable Addressable Market (SAM):</t>
        </is>
      </c>
      <c r="B6" s="6">
        <f>Convergence_Analysis!B8</f>
        <v/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>
        <f>SAM</f>
        <v/>
      </c>
      <c r="C10" s="9">
        <f>B10/B7*100</f>
        <v/>
      </c>
    </row>
    <row r="11">
      <c r="A11" s="4" t="inlineStr">
        <is>
          <t>Method 2: Bottom-Up</t>
        </is>
      </c>
      <c r="B11" s="8">
        <f>SAM_Method2</f>
        <v/>
      </c>
      <c r="C11" s="9">
        <f>B11/B7*100</f>
        <v/>
      </c>
    </row>
    <row r="12">
      <c r="A12" s="4" t="inlineStr">
        <is>
          <t>Method 3: Proxy</t>
        </is>
      </c>
      <c r="B12" s="8">
        <f>SAM_Method3</f>
        <v/>
      </c>
      <c r="C12" s="9">
        <f>B12/B7*100</f>
        <v/>
      </c>
    </row>
    <row r="13">
      <c r="A13" s="4" t="inlineStr">
        <is>
          <t>Method 4: Competitor Revenue</t>
        </is>
      </c>
      <c r="B13" s="8">
        <f>SAM_Method4</f>
        <v/>
      </c>
      <c r="C13" s="9">
        <f>B13/B7*100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Convergence_Analysis!B11</f>
        <v/>
      </c>
    </row>
    <row r="17">
      <c r="A17" s="4" t="inlineStr">
        <is>
          <t>Convergence Status:</t>
        </is>
      </c>
      <c r="B17" s="11">
        <f>Convergence_Analysis!B12</f>
        <v/>
      </c>
    </row>
    <row r="18">
      <c r="A18" s="4" t="inlineStr">
        <is>
          <t>Standard Deviation:</t>
        </is>
      </c>
      <c r="B18" s="8">
        <f>Convergence_Analysis!C17</f>
        <v/>
      </c>
    </row>
    <row r="19">
      <c r="A19" s="4" t="inlineStr">
        <is>
          <t>Coefficient of Variation (CV%):</t>
        </is>
      </c>
      <c r="B19" s="9">
        <f>Convergence_Analysis!C18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AvgSAM_Best</f>
        <v/>
      </c>
    </row>
    <row r="24">
      <c r="A24" s="4" t="inlineStr">
        <is>
          <t>Base Case (Current)</t>
        </is>
      </c>
      <c r="B24" s="13">
        <f>AvgSAM_Base</f>
        <v/>
      </c>
    </row>
    <row r="25">
      <c r="A25" s="4" t="inlineStr">
        <is>
          <t>Worst Case (-15%)</t>
        </is>
      </c>
      <c r="B25" s="14">
        <f>AvgSAM_Worst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Validation_Log!B19</f>
        <v/>
      </c>
    </row>
    <row r="30">
      <c r="A30" s="4" t="inlineStr">
        <is>
          <t>Validated:</t>
        </is>
      </c>
      <c r="B30" s="15">
        <f>Validation_Log!B20</f>
        <v/>
      </c>
    </row>
    <row r="31">
      <c r="A31" s="4" t="inlineStr">
        <is>
          <t>Pending:</t>
        </is>
      </c>
      <c r="B31" s="16">
        <f>Validation_Log!B21</f>
        <v/>
      </c>
    </row>
    <row r="32">
      <c r="A32" s="4" t="inlineStr">
        <is>
          <t>Completion Rate:</t>
        </is>
      </c>
      <c r="B32" s="11">
        <f>Validation_Log!B22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8:C8"/>
    <mergeCell ref="A1:F1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  <c r="I2" t="inlineStr"/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  <c r="I3" t="inlineStr"/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  <c r="I4" t="inlineStr"/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  <c r="I5" t="inlineStr"/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  <c r="I6" t="inlineStr"/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  <c r="I7" t="inlineStr"/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빈도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  <c r="I8" t="inlineStr"/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유사시장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  <c r="I9" t="inlineStr"/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</t>
        </is>
      </c>
      <c r="D10" s="20" t="n">
        <v>0.3</v>
      </c>
      <c r="E10" t="inlineStr"/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  <c r="I10" t="inlineStr"/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  <c r="I11" t="inlineStr"/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  <c r="I12" t="inlineStr"/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  <c r="I13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</t>
        </is>
      </c>
      <c r="C2" t="inlineStr"/>
      <c r="D2" t="inlineStr"/>
      <c r="E2" t="inlineStr"/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</t>
        </is>
      </c>
      <c r="C3" t="inlineStr"/>
      <c r="D3" t="inlineStr"/>
      <c r="E3" t="inlineStr"/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전환율</t>
        </is>
      </c>
      <c r="C4" t="inlineStr"/>
      <c r="D4" t="inlineStr"/>
      <c r="E4" t="inlineStr"/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</t>
        </is>
      </c>
      <c r="C5" t="inlineStr"/>
      <c r="D5" t="inlineStr"/>
      <c r="E5" t="inlineStr"/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</t>
        </is>
      </c>
      <c r="C6" t="inlineStr"/>
      <c r="D6" t="inlineStr"/>
      <c r="E6" t="inlineStr"/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점유율</t>
        </is>
      </c>
      <c r="C7" t="inlineStr"/>
      <c r="D7" t="inlineStr"/>
      <c r="E7" t="inlineStr"/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</t>
        </is>
      </c>
      <c r="B4" t="inlineStr">
        <is>
          <t>한국 15%</t>
        </is>
      </c>
      <c r="C4" t="inlineStr">
        <is>
          <t>피아노 25%</t>
        </is>
      </c>
    </row>
    <row r="5">
      <c r="A5" s="25">
        <f>TAM_VALUE</f>
        <v/>
      </c>
      <c r="B5">
        <f>FILTER_KOREA</f>
        <v/>
      </c>
      <c r="C5">
        <f>FILTER_PIANO</f>
        <v/>
      </c>
    </row>
    <row r="6">
      <c r="B6" s="25">
        <f>A5*B5</f>
        <v/>
      </c>
      <c r="C6" s="26">
        <f>B6*C5</f>
        <v/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</t>
        </is>
      </c>
      <c r="B4">
        <f>SEG1_CUSTOMERS</f>
        <v/>
      </c>
      <c r="C4">
        <f>SEG1_RATE</f>
        <v/>
      </c>
      <c r="D4">
        <f>SEG1_AOV</f>
        <v/>
      </c>
      <c r="E4">
        <f>SEG1_FREQ</f>
        <v/>
      </c>
      <c r="F4" s="25">
        <f>B4*C4*D4*E4</f>
        <v/>
      </c>
    </row>
    <row r="6">
      <c r="A6" s="27" t="inlineStr">
        <is>
          <t>Total SAM</t>
        </is>
      </c>
      <c r="F6" s="26">
        <f>SUM(F4:F4)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>
        <f>PROXY_SIZE</f>
        <v/>
      </c>
    </row>
    <row r="4">
      <c r="A4" t="inlineStr">
        <is>
          <t>Correlation Coefficient</t>
        </is>
      </c>
      <c r="B4" s="28">
        <f>PROXY_CORR</f>
        <v/>
      </c>
    </row>
    <row r="5">
      <c r="A5" t="inlineStr">
        <is>
          <t>Application Rate</t>
        </is>
      </c>
      <c r="B5" s="28">
        <f>PROXY_APP</f>
        <v/>
      </c>
    </row>
    <row r="7">
      <c r="A7" s="27" t="inlineStr">
        <is>
          <t>SAM (Proxy)</t>
        </is>
      </c>
      <c r="B7" s="26">
        <f>B3*B4*B5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>
        <f>COMP1_REV</f>
        <v/>
      </c>
      <c r="C4" s="28">
        <f>COMP1_SHARE</f>
        <v/>
      </c>
    </row>
    <row r="5">
      <c r="A5" s="27" t="inlineStr">
        <is>
          <t>Total</t>
        </is>
      </c>
      <c r="B5" s="27">
        <f>SUM(B4:B4)</f>
        <v/>
      </c>
      <c r="C5" s="27">
        <f>SUM(C4:C4)</f>
        <v/>
      </c>
    </row>
    <row r="7">
      <c r="A7" s="27" t="inlineStr">
        <is>
          <t>SAM (역산)</t>
        </is>
      </c>
      <c r="B7" s="26">
        <f>B5/C5</f>
        <v/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>
        <f>SAM</f>
        <v/>
      </c>
      <c r="C4" s="9">
        <f>(B4-$B$8)/$B$8*100</f>
        <v/>
      </c>
    </row>
    <row r="5">
      <c r="A5" t="inlineStr">
        <is>
          <t>Method_2_BottomUp</t>
        </is>
      </c>
      <c r="B5" s="8">
        <f>SAM_Method2</f>
        <v/>
      </c>
      <c r="C5" s="9">
        <f>(B5-$B$8)/$B$8*100</f>
        <v/>
      </c>
    </row>
    <row r="6">
      <c r="A6" t="inlineStr">
        <is>
          <t>Method_3_Proxy</t>
        </is>
      </c>
      <c r="B6" s="8">
        <f>SAM_Method3</f>
        <v/>
      </c>
      <c r="C6" s="9">
        <f>(B6-$B$8)/$B$8*100</f>
        <v/>
      </c>
    </row>
    <row r="7">
      <c r="A7" t="inlineStr">
        <is>
          <t>Method_4_CompetitorRevenue</t>
        </is>
      </c>
      <c r="B7" s="8">
        <f>SAM_Method4</f>
        <v/>
      </c>
      <c r="C7" s="9">
        <f>(B7-$B$8)/$B$8*100</f>
        <v/>
      </c>
    </row>
    <row r="8">
      <c r="A8" s="27" t="inlineStr">
        <is>
          <t>평균</t>
        </is>
      </c>
      <c r="B8" s="30">
        <f>AVERAGE(B4:B7)</f>
        <v/>
      </c>
    </row>
    <row r="9">
      <c r="A9" t="inlineStr">
        <is>
          <t>표준편차</t>
        </is>
      </c>
      <c r="B9" s="8">
        <f>STDEV(B4:B7)</f>
        <v/>
      </c>
    </row>
    <row r="10">
      <c r="A10" t="inlineStr">
        <is>
          <t>변동계수 (CV%)</t>
        </is>
      </c>
      <c r="B10" s="9">
        <f>B9/B8*100</f>
        <v/>
      </c>
    </row>
    <row r="11">
      <c r="A11" t="inlineStr">
        <is>
          <t>Max/Min 비율</t>
        </is>
      </c>
      <c r="B11" s="31">
        <f>MAX(B4:B7)/MIN(B4:B7)</f>
        <v/>
      </c>
    </row>
    <row r="12">
      <c r="A12" s="27" t="inlineStr">
        <is>
          <t>±30% 수렴?</t>
        </is>
      </c>
      <c r="B12" s="27">
        <f>IF(B11&lt;=1.3, "✅ 통과", "❌ 재검토 필요")</f>
        <v/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17:18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2025-11-04T08:18:48Z</dcterms:created>
  <dcterms:modified xmlns:dcterms="http://purl.org/dc/terms/" xmlns:xsi="http://www.w3.org/2001/XMLSchema-instance" xsi:type="dcterms:W3CDTF">2025-11-04T08:18:48Z</dcterms:modified>
</cp:coreProperties>
</file>