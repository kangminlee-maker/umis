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₩#,##0"/>
    <numFmt numFmtId="165" formatCode="0.0"/>
    <numFmt numFmtId="166" formatCode="0.0%"/>
    <numFmt numFmtId="167" formatCode="#,##0.0"/>
    <numFmt numFmtId="168" formatCode="0.0&quot;%&quot;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4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6" fontId="5" fillId="3" borderId="0" pivotButton="0" quotePrefix="0" xfId="0"/>
    <xf numFmtId="167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8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5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6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5" fontId="0" fillId="0" borderId="0" pivotButton="0" quotePrefix="0" xfId="0"/>
    <xf numFmtId="165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8" fontId="15" fillId="4" borderId="0" pivotButton="0" quotePrefix="0" xfId="0"/>
    <xf numFmtId="2" fontId="15" fillId="0" borderId="0" pivotButton="0" quotePrefix="0" xfId="0"/>
    <xf numFmtId="165" fontId="15" fillId="0" borderId="0" pivotButton="0" quotePrefix="0" xfId="0"/>
    <xf numFmtId="165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/>
    </xf>
    <xf numFmtId="166" fontId="5" fillId="3" borderId="0" pivotButton="0" quotePrefix="0" xfId="0"/>
    <xf numFmtId="167" fontId="5" fillId="3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5" fontId="10" fillId="4" borderId="0" pivotButton="0" quotePrefix="0" xfId="0"/>
    <xf numFmtId="165" fontId="5" fillId="0" borderId="0" pivotButton="0" quotePrefix="0" xfId="0"/>
    <xf numFmtId="166" fontId="15" fillId="0" borderId="0" pivotButton="0" quotePrefix="0" xfId="0"/>
    <xf numFmtId="165" fontId="0" fillId="0" borderId="0" pivotButton="0" quotePrefix="0" xfId="0"/>
    <xf numFmtId="165" fontId="15" fillId="5" borderId="0" pivotButton="0" quotePrefix="0" xfId="0"/>
    <xf numFmtId="168" fontId="15" fillId="4" borderId="0" pivotButton="0" quotePrefix="0" xfId="0"/>
    <xf numFmtId="165" fontId="15" fillId="0" borderId="0" pivotButton="0" quotePrefix="0" xfId="0"/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63" t="n">
        <v>78750</v>
      </c>
    </row>
    <row r="6">
      <c r="A6" s="4" t="inlineStr">
        <is>
          <t>Customer Acquisition Cost (CAC)</t>
        </is>
      </c>
      <c r="B6" s="63" t="n">
        <v>25000</v>
      </c>
    </row>
    <row r="7">
      <c r="A7" s="3" t="inlineStr">
        <is>
          <t>LTV/CAC Ratio</t>
        </is>
      </c>
      <c r="B7" s="6" t="n">
        <v>3.15</v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64" t="n">
        <v>7.936507936507937</v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65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65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66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20:D20"/>
    <mergeCell ref="A16:D16"/>
    <mergeCell ref="A11:D11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6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6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 t="n">
        <v>78750</v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6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6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 t="n">
        <v>78750</v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51" t="n">
        <v>78750</v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69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 t="n">
        <v>3.15</v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6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7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71" t="n">
        <v>7.936507936507937</v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69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69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69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69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68">
        <f>MonthlyChurn*1.15</f>
        <v/>
      </c>
      <c r="C8" s="72">
        <f>MonthlyChurn</f>
        <v/>
      </c>
      <c r="D8" s="68">
        <f>MonthlyChurn*0.85</f>
        <v/>
      </c>
      <c r="E8" s="68">
        <f>B8-D8</f>
        <v/>
      </c>
    </row>
    <row r="9">
      <c r="A9" t="inlineStr">
        <is>
          <t>Gross Margin</t>
        </is>
      </c>
      <c r="B9" s="68">
        <f>GrossMargin*0.9</f>
        <v/>
      </c>
      <c r="C9" s="72">
        <f>GrossMargin</f>
        <v/>
      </c>
      <c r="D9" s="68">
        <f>GrossMargin*1.1</f>
        <v/>
      </c>
      <c r="E9" s="6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73">
        <f>B9/(B7*B10)</f>
        <v/>
      </c>
      <c r="C14" s="74">
        <f>PaybackPeriod</f>
        <v/>
      </c>
      <c r="D14" s="73">
        <f>D9/(D7*D10)</f>
        <v/>
      </c>
      <c r="E14" s="7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16:E16"/>
    <mergeCell ref="A2:E2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69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69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69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69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69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69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69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69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69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69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69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75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76">
        <f>PaybackPeriod</f>
        <v/>
      </c>
      <c r="C6" s="73" t="n">
        <v>8</v>
      </c>
      <c r="D6" s="7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72">
        <f>MonthlyChurn</f>
        <v/>
      </c>
      <c r="C7" s="68" t="n">
        <v>0.04</v>
      </c>
      <c r="D7" s="6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72">
        <f>GrossMargin</f>
        <v/>
      </c>
      <c r="C8" s="68" t="n">
        <v>0.35</v>
      </c>
      <c r="D8" s="6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77" t="n">
        <v>5</v>
      </c>
      <c r="C16" s="61" t="n">
        <v>12</v>
      </c>
      <c r="D16" s="78" t="n">
        <v>0.02</v>
      </c>
      <c r="E16" s="78" t="n">
        <v>0.8</v>
      </c>
    </row>
    <row r="17">
      <c r="A17" s="13" t="inlineStr">
        <is>
          <t>SaaS (SMB)</t>
        </is>
      </c>
      <c r="B17" s="77" t="n">
        <v>3</v>
      </c>
      <c r="C17" s="61" t="n">
        <v>8</v>
      </c>
      <c r="D17" s="78" t="n">
        <v>0.05</v>
      </c>
      <c r="E17" s="78" t="n">
        <v>0.75</v>
      </c>
    </row>
    <row r="18">
      <c r="A18" s="13" t="inlineStr">
        <is>
          <t>E-commerce</t>
        </is>
      </c>
      <c r="B18" s="77" t="n">
        <v>2.5</v>
      </c>
      <c r="C18" s="61" t="n">
        <v>6</v>
      </c>
      <c r="D18" s="78" t="n">
        <v>0.1</v>
      </c>
      <c r="E18" s="78" t="n">
        <v>0.3</v>
      </c>
    </row>
    <row r="19">
      <c r="A19" s="13" t="inlineStr">
        <is>
          <t>구독 서비스</t>
        </is>
      </c>
      <c r="B19" s="77" t="n">
        <v>3.5</v>
      </c>
      <c r="C19" s="61" t="n">
        <v>9</v>
      </c>
      <c r="D19" s="78" t="n">
        <v>0.04</v>
      </c>
      <c r="E19" s="78" t="n">
        <v>0.5</v>
      </c>
    </row>
    <row r="20">
      <c r="A20" s="13" t="inlineStr">
        <is>
          <t>OTT/스트리밍</t>
        </is>
      </c>
      <c r="B20" s="77" t="n">
        <v>3.2</v>
      </c>
      <c r="C20" s="61" t="n">
        <v>8</v>
      </c>
      <c r="D20" s="78" t="n">
        <v>0.04</v>
      </c>
      <c r="E20" s="78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2025-11-04T08:18:48Z</dcterms:created>
  <dcterms:modified xmlns:dcterms="http://purl.org/dc/terms/" xmlns:xsi="http://www.w3.org/2001/XMLSchema-instance" xsi:type="dcterms:W3CDTF">2025-11-04T08:19:00Z</dcterms:modified>
</cp:coreProperties>
</file>