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₩#,##0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4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4" fontId="16" fillId="0" borderId="0" pivotButton="0" quotePrefix="0" xfId="0"/>
    <xf numFmtId="164" fontId="13" fillId="0" borderId="0" pivotButton="0" quotePrefix="0" xfId="0"/>
    <xf numFmtId="164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5">
        <f>Revenue_Y5</f>
        <v/>
      </c>
    </row>
    <row r="6">
      <c r="A6" s="4" t="inlineStr">
        <is>
          <t>Net Income (Year 5)</t>
        </is>
      </c>
      <c r="B6" s="5">
        <f>NetIncome_Y5</f>
        <v/>
      </c>
    </row>
    <row r="7">
      <c r="A7" s="4" t="inlineStr">
        <is>
          <t>CAGR (Year 0-5)</t>
        </is>
      </c>
      <c r="B7" s="6">
        <f>((Revenue_Y5/Revenue_Y0)^(1/5))-1</f>
        <v/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9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9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19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19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19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19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19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19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19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19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19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19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19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19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19" t="n">
        <v>0.6</v>
      </c>
    </row>
    <row r="9">
      <c r="A9" s="22" t="inlineStr">
        <is>
          <t>Total Revenue</t>
        </is>
      </c>
      <c r="B9" s="23">
        <f>SUM(B5:B8)</f>
        <v/>
      </c>
      <c r="C9" s="23">
        <f>SUM(C5:C8)</f>
        <v/>
      </c>
      <c r="D9" s="23">
        <f>SUM(D5:D8)</f>
        <v/>
      </c>
      <c r="E9" s="23">
        <f>SUM(E5:E8)</f>
        <v/>
      </c>
      <c r="F9" s="23">
        <f>SUM(F5:F8)</f>
        <v/>
      </c>
      <c r="G9" s="23">
        <f>SUM(G5:G8)</f>
        <v/>
      </c>
    </row>
    <row r="10">
      <c r="A10" s="24" t="inlineStr">
        <is>
          <t>YoY Growth %</t>
        </is>
      </c>
      <c r="C10" s="25">
        <f>(C9-B9)/B9</f>
        <v/>
      </c>
      <c r="D10" s="25">
        <f>(D9-C9)/C9</f>
        <v/>
      </c>
      <c r="E10" s="25">
        <f>(E9-D9)/D9</f>
        <v/>
      </c>
      <c r="F10" s="25">
        <f>(F9-E9)/E9</f>
        <v/>
      </c>
      <c r="G10" s="25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9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9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9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9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9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9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  <c r="F8" s="25">
        <f>F7/F5</f>
        <v/>
      </c>
      <c r="G8" s="25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  <c r="F15" s="25">
        <f>F14/F5</f>
        <v/>
      </c>
      <c r="G15" s="25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  <c r="F22" s="25">
        <f>F21/F5</f>
        <v/>
      </c>
      <c r="G22" s="25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25">
        <f>(C6-B6)/B6</f>
        <v/>
      </c>
      <c r="D7" s="25">
        <f>(D6-C6)/C6</f>
        <v/>
      </c>
      <c r="E7" s="25">
        <f>(E6-D6)/D6</f>
        <v/>
      </c>
      <c r="F7" s="25">
        <f>(F6-E6)/E6</f>
        <v/>
      </c>
      <c r="G7" s="25">
        <f>(G6-F6)/F6</f>
        <v/>
      </c>
    </row>
    <row r="8">
      <c r="A8" s="10" t="inlineStr">
        <is>
          <t xml:space="preserve">  CAGR (Cumulative)</t>
        </is>
      </c>
      <c r="C8" s="42">
        <f>((C6/B6)^(1/1))-1</f>
        <v/>
      </c>
      <c r="D8" s="42">
        <f>((D6/B6)^(1/2))-1</f>
        <v/>
      </c>
      <c r="E8" s="42">
        <f>((E6/B6)^(1/3))-1</f>
        <v/>
      </c>
      <c r="F8" s="42">
        <f>((F6/B6)^(1/4))-1</f>
        <v/>
      </c>
      <c r="G8" s="42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9">
        <f>GrossMarginTarget</f>
        <v/>
      </c>
      <c r="C11" s="9">
        <f>GrossMarginTarget</f>
        <v/>
      </c>
      <c r="D11" s="9">
        <f>GrossMarginTarget</f>
        <v/>
      </c>
      <c r="E11" s="9">
        <f>GrossMarginTarget</f>
        <v/>
      </c>
      <c r="F11" s="9">
        <f>GrossMarginTarget</f>
        <v/>
      </c>
      <c r="G11" s="9">
        <f>GrossMarginTarget</f>
        <v/>
      </c>
    </row>
    <row r="12">
      <c r="A12" s="17" t="inlineStr">
        <is>
          <t>EBITDA Margin %</t>
        </is>
      </c>
      <c r="B12" s="9">
        <f>EBITDA_Y0/Revenue_Y0</f>
        <v/>
      </c>
      <c r="C12" s="9">
        <f>EBITDA_Y1/Revenue_Y1</f>
        <v/>
      </c>
      <c r="D12" s="9">
        <f>EBITDA_Y2/Revenue_Y2</f>
        <v/>
      </c>
      <c r="E12" s="9">
        <f>EBITDA_Y3/Revenue_Y3</f>
        <v/>
      </c>
      <c r="F12" s="9">
        <f>EBITDA_Y4/Revenue_Y4</f>
        <v/>
      </c>
      <c r="G12" s="9">
        <f>EBITDA_Y5/Revenue_Y5</f>
        <v/>
      </c>
    </row>
    <row r="13">
      <c r="A13" s="20" t="inlineStr">
        <is>
          <t>Net Margin %</t>
        </is>
      </c>
      <c r="B13" s="43">
        <f>NetIncome_Y0/Revenue_Y0</f>
        <v/>
      </c>
      <c r="C13" s="43">
        <f>NetIncome_Y1/Revenue_Y1</f>
        <v/>
      </c>
      <c r="D13" s="43">
        <f>NetIncome_Y2/Revenue_Y2</f>
        <v/>
      </c>
      <c r="E13" s="43">
        <f>NetIncome_Y3/Revenue_Y3</f>
        <v/>
      </c>
      <c r="F13" s="43">
        <f>NetIncome_Y4/Revenue_Y4</f>
        <v/>
      </c>
      <c r="G13" s="43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9">
        <f>SMPercent+RDPercent+GAPercent</f>
        <v/>
      </c>
      <c r="C16" s="9">
        <f>SMPercent+RDPercent+GAPercent</f>
        <v/>
      </c>
      <c r="D16" s="9">
        <f>SMPercent+RDPercent+GAPercent</f>
        <v/>
      </c>
      <c r="E16" s="9">
        <f>SMPercent+RDPercent+GAPercent</f>
        <v/>
      </c>
      <c r="F16" s="9">
        <f>SMPercent+RDPercent+GAPercent</f>
        <v/>
      </c>
      <c r="G16" s="9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43">
        <f>C8</f>
        <v/>
      </c>
    </row>
    <row r="20">
      <c r="A20" s="17" t="inlineStr">
        <is>
          <t>Year 5 Net Margin:</t>
        </is>
      </c>
      <c r="B20" s="43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9">
        <f>GrowthRateYoY*0.8</f>
        <v/>
      </c>
      <c r="C6" s="44">
        <f>GrowthRateYoY</f>
        <v/>
      </c>
      <c r="D6" s="9">
        <f>GrowthRateYoY*1.3</f>
        <v/>
      </c>
      <c r="E6" s="9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9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9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19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2025-11-04T10:26:30Z</dcterms:created>
  <dcterms:modified xmlns:dcterms="http://purl.org/dc/terms/" xmlns:xsi="http://www.w3.org/2001/XMLSchema-instance" xsi:type="dcterms:W3CDTF">2025-11-04T10:26:30Z</dcterms:modified>
</cp:coreProperties>
</file>