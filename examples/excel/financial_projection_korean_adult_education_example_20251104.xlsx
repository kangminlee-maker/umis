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'Revenue_Buildup'!$C$9</definedName>
    <definedName name="Revenue_Y1">'Revenue_Buildup'!$D$9</definedName>
    <definedName name="Revenue_Y2">'Revenue_Buildup'!$E$9</definedName>
    <definedName name="Revenue_Y3">'Revenue_Buildup'!$F$9</definedName>
    <definedName name="Revenue_Y4">'Revenue_Buildup'!$G$9</definedName>
    <definedName name="Revenue_Y5">'Revenue_Buildup'!$H$9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'Cost_Structure'!$C$13</definedName>
    <definedName name="OPEX_Y1">'Cost_Structure'!$D$13</definedName>
    <definedName name="OPEX_Y2">'Cost_Structure'!$E$13</definedName>
    <definedName name="OPEX_Y3">'Cost_Structure'!$F$13</definedName>
    <definedName name="OPEX_Y4">'Cost_Structure'!$G$13</definedName>
    <definedName name="OPEX_Y5">'Cost_Structure'!$H$13</definedName>
    <definedName name="TotalCosts_Y0">'Cost_Structure'!$C$14</definedName>
    <definedName name="TotalCosts_Y1">'Cost_Structure'!$D$14</definedName>
    <definedName name="TotalCosts_Y2">'Cost_Structure'!$E$14</definedName>
    <definedName name="TotalCosts_Y3">'Cost_Structure'!$F$14</definedName>
    <definedName name="TotalCosts_Y4">'Cost_Structure'!$G$14</definedName>
    <definedName name="TotalCosts_Y5">'Cost_Structure'!$H$14</definedName>
    <definedName name="EBITDA_Y0">'PL_5Year'!$C$14</definedName>
    <definedName name="EBITDA_Y1">'PL_5Year'!$D$14</definedName>
    <definedName name="EBITDA_Y2">'PL_5Year'!$E$14</definedName>
    <definedName name="EBITDA_Y3">'PL_5Year'!$F$14</definedName>
    <definedName name="EBITDA_Y4">'PL_5Year'!$G$14</definedName>
    <definedName name="EBITDA_Y5">'PL_5Year'!$H$14</definedName>
    <definedName name="NetIncome_Y0">'PL_5Year'!$C$21</definedName>
    <definedName name="NetIncome_Y1">'PL_5Year'!$D$21</definedName>
    <definedName name="NetIncome_Y2">'PL_5Year'!$E$21</definedName>
    <definedName name="NetIncome_Y3">'PL_5Year'!$F$21</definedName>
    <definedName name="NetIncome_Y4">'PL_5Year'!$G$21</definedName>
    <definedName name="NetIncome_Y5">'PL_5Year'!$H$21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 (개인 학습자)</t>
        </is>
      </c>
      <c r="B5" s="18" t="n">
        <v>80000000000</v>
      </c>
      <c r="C5" s="8">
        <f>C5*(1+$H$5)</f>
        <v/>
      </c>
      <c r="D5" s="8">
        <f>D5*(1+$H$5)</f>
        <v/>
      </c>
      <c r="E5" s="8">
        <f>E5*(1+$H$5)</f>
        <v/>
      </c>
      <c r="F5" s="8">
        <f>F5*(1+$H$5)</f>
        <v/>
      </c>
      <c r="G5" s="19" t="n">
        <v>0.1</v>
      </c>
    </row>
    <row r="6">
      <c r="A6" s="20" t="inlineStr">
        <is>
          <t>B2B (기업 교육)</t>
        </is>
      </c>
      <c r="B6" s="18" t="n">
        <v>30000000000</v>
      </c>
      <c r="C6" s="8">
        <f>C6*(1+$H$6)</f>
        <v/>
      </c>
      <c r="D6" s="8">
        <f>D6*(1+$H$6)</f>
        <v/>
      </c>
      <c r="E6" s="8">
        <f>E6*(1+$H$6)</f>
        <v/>
      </c>
      <c r="F6" s="8">
        <f>F6*(1+$H$6)</f>
        <v/>
      </c>
      <c r="G6" s="19" t="n">
        <v>0.35</v>
      </c>
    </row>
    <row r="7">
      <c r="A7" s="20" t="inlineStr">
        <is>
          <t>B2G (정부 사업)</t>
        </is>
      </c>
      <c r="B7" s="18" t="n">
        <v>10000000000</v>
      </c>
      <c r="C7" s="8">
        <f>C7*(1+$H$7)</f>
        <v/>
      </c>
      <c r="D7" s="8">
        <f>D7*(1+$H$7)</f>
        <v/>
      </c>
      <c r="E7" s="8">
        <f>E7*(1+$H$7)</f>
        <v/>
      </c>
      <c r="F7" s="8">
        <f>F7*(1+$H$7)</f>
        <v/>
      </c>
      <c r="G7" s="19" t="n">
        <v>0.45</v>
      </c>
    </row>
    <row r="8">
      <c r="A8" s="20" t="inlineStr">
        <is>
          <t>Global (해외)</t>
        </is>
      </c>
      <c r="B8" s="18" t="n">
        <v>5000000000</v>
      </c>
      <c r="C8" s="8">
        <f>C8*(1+$H$8)</f>
        <v/>
      </c>
      <c r="D8" s="8">
        <f>D8*(1+$H$8)</f>
        <v/>
      </c>
      <c r="E8" s="8">
        <f>E8*(1+$H$8)</f>
        <v/>
      </c>
      <c r="F8" s="8">
        <f>F8*(1+$H$8)</f>
        <v/>
      </c>
      <c r="G8" s="19" t="n">
        <v>0.6</v>
      </c>
    </row>
    <row r="9">
      <c r="A9" s="22" t="inlineStr">
        <is>
          <t>Total Revenue</t>
        </is>
      </c>
      <c r="B9" s="23">
        <f>SUM(C5:C8)</f>
        <v/>
      </c>
      <c r="C9" s="23">
        <f>SUM(D5:D8)</f>
        <v/>
      </c>
      <c r="D9" s="23">
        <f>SUM(E5:E8)</f>
        <v/>
      </c>
      <c r="E9" s="23">
        <f>SUM(F5:F8)</f>
        <v/>
      </c>
      <c r="F9" s="23">
        <f>SUM(G5:G8)</f>
        <v/>
      </c>
      <c r="G9" s="23">
        <f>SUM(H5:H8)</f>
        <v/>
      </c>
    </row>
    <row r="10">
      <c r="A10" s="24" t="inlineStr">
        <is>
          <t>YoY Growth %</t>
        </is>
      </c>
      <c r="C10" s="25">
        <f>(D9-C9)/C9</f>
        <v/>
      </c>
      <c r="D10" s="25">
        <f>(E9-D9)/D9</f>
        <v/>
      </c>
      <c r="E10" s="25">
        <f>(F9-E9)/E9</f>
        <v/>
      </c>
      <c r="F10" s="25">
        <f>(G9-F9)/F9</f>
        <v/>
      </c>
      <c r="G10" s="25">
        <f>(H9-G9)/G9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C5*(1-GrossMarginTarget)</f>
        <v/>
      </c>
      <c r="C6" s="8">
        <f>D5*(1-GrossMarginTarget)</f>
        <v/>
      </c>
      <c r="D6" s="8">
        <f>E5*(1-GrossMarginTarget)</f>
        <v/>
      </c>
      <c r="E6" s="8">
        <f>F5*(1-GrossMarginTarget)</f>
        <v/>
      </c>
      <c r="F6" s="8">
        <f>G5*(1-GrossMarginTarget)</f>
        <v/>
      </c>
      <c r="G6" s="8">
        <f>H5*(1-GrossMarginTarget)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C5-C6</f>
        <v/>
      </c>
      <c r="C7" s="28">
        <f>D5-D6</f>
        <v/>
      </c>
      <c r="D7" s="28">
        <f>E5-E6</f>
        <v/>
      </c>
      <c r="E7" s="28">
        <f>F5-F6</f>
        <v/>
      </c>
      <c r="F7" s="28">
        <f>G5-G6</f>
        <v/>
      </c>
      <c r="G7" s="28">
        <f>H5-H6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C5*SMPercent</f>
        <v/>
      </c>
      <c r="C10" s="8">
        <f>D5*SMPercent</f>
        <v/>
      </c>
      <c r="D10" s="8">
        <f>E5*SMPercent</f>
        <v/>
      </c>
      <c r="E10" s="8">
        <f>F5*SMPercent</f>
        <v/>
      </c>
      <c r="F10" s="8">
        <f>G5*SMPercent</f>
        <v/>
      </c>
      <c r="G10" s="8">
        <f>H5*SMPercent</f>
        <v/>
      </c>
      <c r="H10" s="9">
        <f>SMPercent</f>
        <v/>
      </c>
    </row>
    <row r="11">
      <c r="A11" s="17" t="inlineStr">
        <is>
          <t>R&amp;D</t>
        </is>
      </c>
      <c r="B11" s="8">
        <f>C5*RDPercent</f>
        <v/>
      </c>
      <c r="C11" s="8">
        <f>D5*RDPercent</f>
        <v/>
      </c>
      <c r="D11" s="8">
        <f>E5*RDPercent</f>
        <v/>
      </c>
      <c r="E11" s="8">
        <f>F5*RDPercent</f>
        <v/>
      </c>
      <c r="F11" s="8">
        <f>G5*RDPercent</f>
        <v/>
      </c>
      <c r="G11" s="8">
        <f>H5*RDPercent</f>
        <v/>
      </c>
      <c r="H11" s="9">
        <f>RDPercent</f>
        <v/>
      </c>
    </row>
    <row r="12">
      <c r="A12" s="17" t="inlineStr">
        <is>
          <t>G&amp;A</t>
        </is>
      </c>
      <c r="B12" s="8">
        <f>C5*GAPercent</f>
        <v/>
      </c>
      <c r="C12" s="8">
        <f>D5*GAPercent</f>
        <v/>
      </c>
      <c r="D12" s="8">
        <f>E5*GAPercent</f>
        <v/>
      </c>
      <c r="E12" s="8">
        <f>F5*GAPercent</f>
        <v/>
      </c>
      <c r="F12" s="8">
        <f>G5*GAPercent</f>
        <v/>
      </c>
      <c r="G12" s="8">
        <f>H5*GAPercent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SUM(C10:C12)</f>
        <v/>
      </c>
      <c r="C13" s="28">
        <f>SUM(D10:D12)</f>
        <v/>
      </c>
      <c r="D13" s="28">
        <f>SUM(E10:E12)</f>
        <v/>
      </c>
      <c r="E13" s="28">
        <f>SUM(F10:F12)</f>
        <v/>
      </c>
      <c r="F13" s="28">
        <f>SUM(G10:G12)</f>
        <v/>
      </c>
      <c r="G13" s="28">
        <f>SUM(H10:H12)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C6+C13</f>
        <v/>
      </c>
      <c r="C14" s="30">
        <f>D6+D13</f>
        <v/>
      </c>
      <c r="D14" s="30">
        <f>E6+E13</f>
        <v/>
      </c>
      <c r="E14" s="30">
        <f>F6+F13</f>
        <v/>
      </c>
      <c r="F14" s="30">
        <f>G6+G13</f>
        <v/>
      </c>
      <c r="G14" s="30">
        <f>H6+H13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C5-C6</f>
        <v/>
      </c>
      <c r="C7" s="33">
        <f>D5-D6</f>
        <v/>
      </c>
      <c r="D7" s="33">
        <f>E5-E6</f>
        <v/>
      </c>
      <c r="E7" s="33">
        <f>F5-F6</f>
        <v/>
      </c>
    </row>
    <row r="8">
      <c r="A8" s="10" t="inlineStr">
        <is>
          <t xml:space="preserve">  Gross Margin %</t>
        </is>
      </c>
      <c r="B8" s="25">
        <f>C7/C5</f>
        <v/>
      </c>
      <c r="C8" s="25">
        <f>D7/D5</f>
        <v/>
      </c>
      <c r="D8" s="25">
        <f>E7/E5</f>
        <v/>
      </c>
      <c r="E8" s="25">
        <f>F7/F5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C5*SMPercent</f>
        <v/>
      </c>
      <c r="C10" s="8">
        <f>D5*SMPercent</f>
        <v/>
      </c>
      <c r="D10" s="8">
        <f>E5*SMPercent</f>
        <v/>
      </c>
      <c r="E10" s="8">
        <f>F5*SMPercent</f>
        <v/>
      </c>
    </row>
    <row r="11">
      <c r="A11" s="11" t="inlineStr">
        <is>
          <t xml:space="preserve">  R&amp;D</t>
        </is>
      </c>
      <c r="B11" s="8">
        <f>C5*RDPercent</f>
        <v/>
      </c>
      <c r="C11" s="8">
        <f>D5*RDPercent</f>
        <v/>
      </c>
      <c r="D11" s="8">
        <f>E5*RDPercent</f>
        <v/>
      </c>
      <c r="E11" s="8">
        <f>F5*RDPercent</f>
        <v/>
      </c>
    </row>
    <row r="12">
      <c r="A12" s="11" t="inlineStr">
        <is>
          <t xml:space="preserve">  G&amp;A</t>
        </is>
      </c>
      <c r="B12" s="8">
        <f>C5*GAPercent</f>
        <v/>
      </c>
      <c r="C12" s="8">
        <f>D5*GAPercent</f>
        <v/>
      </c>
      <c r="D12" s="8">
        <f>E5*GAPercent</f>
        <v/>
      </c>
      <c r="E12" s="8">
        <f>F5*GAPercent</f>
        <v/>
      </c>
    </row>
    <row r="13">
      <c r="A13" s="34" t="inlineStr">
        <is>
          <t>Total Operating Expenses</t>
        </is>
      </c>
      <c r="B13" s="35">
        <f>C10+C11+C12</f>
        <v/>
      </c>
      <c r="C13" s="35">
        <f>D10+D11+D12</f>
        <v/>
      </c>
      <c r="D13" s="35">
        <f>E10+E11+E12</f>
        <v/>
      </c>
      <c r="E13" s="35">
        <f>F10+F11+F12</f>
        <v/>
      </c>
    </row>
    <row r="14">
      <c r="A14" s="36" t="inlineStr">
        <is>
          <t>EBITDA</t>
        </is>
      </c>
      <c r="B14" s="37">
        <f>C7-C13</f>
        <v/>
      </c>
      <c r="C14" s="37">
        <f>D7-D13</f>
        <v/>
      </c>
      <c r="D14" s="37">
        <f>E7-E13</f>
        <v/>
      </c>
      <c r="E14" s="37">
        <f>F7-F13</f>
        <v/>
      </c>
    </row>
    <row r="15">
      <c r="A15" s="10" t="inlineStr">
        <is>
          <t xml:space="preserve">  EBITDA Margin %</t>
        </is>
      </c>
      <c r="B15" s="25">
        <f>C14/C5</f>
        <v/>
      </c>
      <c r="C15" s="25">
        <f>D14/D5</f>
        <v/>
      </c>
      <c r="D15" s="25">
        <f>E14/E5</f>
        <v/>
      </c>
      <c r="E15" s="25">
        <f>F14/F5</f>
        <v/>
      </c>
    </row>
    <row r="16">
      <c r="A16" s="17" t="inlineStr">
        <is>
          <t>D&amp;A (Depreciation &amp; Amortization)</t>
        </is>
      </c>
      <c r="B16" s="8">
        <f>C5*0.02</f>
        <v/>
      </c>
      <c r="C16" s="8">
        <f>D5*0.02</f>
        <v/>
      </c>
      <c r="D16" s="8">
        <f>E5*0.02</f>
        <v/>
      </c>
      <c r="E16" s="8">
        <f>F5*0.02</f>
        <v/>
      </c>
    </row>
    <row r="17">
      <c r="A17" s="38" t="inlineStr">
        <is>
          <t>EBIT (Operating Income)</t>
        </is>
      </c>
      <c r="B17" s="18">
        <f>C14-C16</f>
        <v/>
      </c>
      <c r="C17" s="18">
        <f>D14-D16</f>
        <v/>
      </c>
      <c r="D17" s="18">
        <f>E14-E16</f>
        <v/>
      </c>
      <c r="E17" s="18">
        <f>F14-F16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C17-C18</f>
        <v/>
      </c>
      <c r="C19" s="8">
        <f>D17-D18</f>
        <v/>
      </c>
      <c r="D19" s="8">
        <f>E17-E18</f>
        <v/>
      </c>
      <c r="E19" s="8">
        <f>F17-F18</f>
        <v/>
      </c>
    </row>
    <row r="20">
      <c r="A20" s="17" t="inlineStr">
        <is>
          <t>Tax</t>
        </is>
      </c>
      <c r="B20" s="8">
        <f>IF(C19&gt;0, C19*TaxRate, 0)</f>
        <v/>
      </c>
      <c r="C20" s="8">
        <f>IF(D19&gt;0, D19*TaxRate, 0)</f>
        <v/>
      </c>
      <c r="D20" s="8">
        <f>IF(E19&gt;0, E19*TaxRate, 0)</f>
        <v/>
      </c>
      <c r="E20" s="8">
        <f>IF(F19&gt;0, F19*TaxRate, 0)</f>
        <v/>
      </c>
    </row>
    <row r="21">
      <c r="A21" s="39" t="inlineStr">
        <is>
          <t>Net Income</t>
        </is>
      </c>
      <c r="B21" s="23">
        <f>C19-C20</f>
        <v/>
      </c>
      <c r="C21" s="23">
        <f>D19-D20</f>
        <v/>
      </c>
      <c r="D21" s="23">
        <f>E19-E20</f>
        <v/>
      </c>
      <c r="E21" s="23">
        <f>F19-F20</f>
        <v/>
      </c>
    </row>
    <row r="22">
      <c r="A22" s="10" t="inlineStr">
        <is>
          <t xml:space="preserve">  Net Margin %</t>
        </is>
      </c>
      <c r="B22" s="25">
        <f>C21/C5</f>
        <v/>
      </c>
      <c r="C22" s="25">
        <f>D21/D5</f>
        <v/>
      </c>
      <c r="D22" s="25">
        <f>E21/E5</f>
        <v/>
      </c>
      <c r="E22" s="25">
        <f>F21/F5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C5-C6</f>
        <v/>
      </c>
      <c r="C7" s="33">
        <f>D5-D6</f>
        <v/>
      </c>
      <c r="D7" s="33">
        <f>E5-E6</f>
        <v/>
      </c>
      <c r="E7" s="33">
        <f>F5-F6</f>
        <v/>
      </c>
      <c r="F7" s="33">
        <f>G5-G6</f>
        <v/>
      </c>
      <c r="G7" s="33">
        <f>H5-H6</f>
        <v/>
      </c>
    </row>
    <row r="8">
      <c r="A8" s="10" t="inlineStr">
        <is>
          <t xml:space="preserve">  Gross Margin %</t>
        </is>
      </c>
      <c r="B8" s="25">
        <f>C7/C5</f>
        <v/>
      </c>
      <c r="C8" s="25">
        <f>D7/D5</f>
        <v/>
      </c>
      <c r="D8" s="25">
        <f>E7/E5</f>
        <v/>
      </c>
      <c r="E8" s="25">
        <f>F7/F5</f>
        <v/>
      </c>
      <c r="F8" s="25">
        <f>G7/G5</f>
        <v/>
      </c>
      <c r="G8" s="25">
        <f>H7/H5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C5*SMPercent</f>
        <v/>
      </c>
      <c r="C10" s="8">
        <f>D5*SMPercent</f>
        <v/>
      </c>
      <c r="D10" s="8">
        <f>E5*SMPercent</f>
        <v/>
      </c>
      <c r="E10" s="8">
        <f>F5*SMPercent</f>
        <v/>
      </c>
      <c r="F10" s="8">
        <f>G5*SMPercent</f>
        <v/>
      </c>
      <c r="G10" s="8">
        <f>H5*SMPercent</f>
        <v/>
      </c>
    </row>
    <row r="11">
      <c r="A11" s="11" t="inlineStr">
        <is>
          <t xml:space="preserve">  R&amp;D</t>
        </is>
      </c>
      <c r="B11" s="8">
        <f>C5*RDPercent</f>
        <v/>
      </c>
      <c r="C11" s="8">
        <f>D5*RDPercent</f>
        <v/>
      </c>
      <c r="D11" s="8">
        <f>E5*RDPercent</f>
        <v/>
      </c>
      <c r="E11" s="8">
        <f>F5*RDPercent</f>
        <v/>
      </c>
      <c r="F11" s="8">
        <f>G5*RDPercent</f>
        <v/>
      </c>
      <c r="G11" s="8">
        <f>H5*RDPercent</f>
        <v/>
      </c>
    </row>
    <row r="12">
      <c r="A12" s="11" t="inlineStr">
        <is>
          <t xml:space="preserve">  G&amp;A</t>
        </is>
      </c>
      <c r="B12" s="8">
        <f>C5*GAPercent</f>
        <v/>
      </c>
      <c r="C12" s="8">
        <f>D5*GAPercent</f>
        <v/>
      </c>
      <c r="D12" s="8">
        <f>E5*GAPercent</f>
        <v/>
      </c>
      <c r="E12" s="8">
        <f>F5*GAPercent</f>
        <v/>
      </c>
      <c r="F12" s="8">
        <f>G5*GAPercent</f>
        <v/>
      </c>
      <c r="G12" s="8">
        <f>H5*GAPercent</f>
        <v/>
      </c>
    </row>
    <row r="13">
      <c r="A13" s="34" t="inlineStr">
        <is>
          <t>Total Operating Expenses</t>
        </is>
      </c>
      <c r="B13" s="35">
        <f>C10+C11+C12</f>
        <v/>
      </c>
      <c r="C13" s="35">
        <f>D10+D11+D12</f>
        <v/>
      </c>
      <c r="D13" s="35">
        <f>E10+E11+E12</f>
        <v/>
      </c>
      <c r="E13" s="35">
        <f>F10+F11+F12</f>
        <v/>
      </c>
      <c r="F13" s="35">
        <f>G10+G11+G12</f>
        <v/>
      </c>
      <c r="G13" s="35">
        <f>H10+H11+H12</f>
        <v/>
      </c>
    </row>
    <row r="14">
      <c r="A14" s="36" t="inlineStr">
        <is>
          <t>EBITDA</t>
        </is>
      </c>
      <c r="B14" s="37">
        <f>C7-C13</f>
        <v/>
      </c>
      <c r="C14" s="37">
        <f>D7-D13</f>
        <v/>
      </c>
      <c r="D14" s="37">
        <f>E7-E13</f>
        <v/>
      </c>
      <c r="E14" s="37">
        <f>F7-F13</f>
        <v/>
      </c>
      <c r="F14" s="37">
        <f>G7-G13</f>
        <v/>
      </c>
      <c r="G14" s="37">
        <f>H7-H13</f>
        <v/>
      </c>
    </row>
    <row r="15">
      <c r="A15" s="10" t="inlineStr">
        <is>
          <t xml:space="preserve">  EBITDA Margin %</t>
        </is>
      </c>
      <c r="B15" s="25">
        <f>C14/C5</f>
        <v/>
      </c>
      <c r="C15" s="25">
        <f>D14/D5</f>
        <v/>
      </c>
      <c r="D15" s="25">
        <f>E14/E5</f>
        <v/>
      </c>
      <c r="E15" s="25">
        <f>F14/F5</f>
        <v/>
      </c>
      <c r="F15" s="25">
        <f>G14/G5</f>
        <v/>
      </c>
      <c r="G15" s="25">
        <f>H14/H5</f>
        <v/>
      </c>
    </row>
    <row r="16">
      <c r="A16" s="17" t="inlineStr">
        <is>
          <t>D&amp;A (Depreciation &amp; Amortization)</t>
        </is>
      </c>
      <c r="B16" s="8">
        <f>C5*0.02</f>
        <v/>
      </c>
      <c r="C16" s="8">
        <f>D5*0.02</f>
        <v/>
      </c>
      <c r="D16" s="8">
        <f>E5*0.02</f>
        <v/>
      </c>
      <c r="E16" s="8">
        <f>F5*0.02</f>
        <v/>
      </c>
      <c r="F16" s="8">
        <f>G5*0.02</f>
        <v/>
      </c>
      <c r="G16" s="8">
        <f>H5*0.02</f>
        <v/>
      </c>
    </row>
    <row r="17">
      <c r="A17" s="38" t="inlineStr">
        <is>
          <t>EBIT (Operating Income)</t>
        </is>
      </c>
      <c r="B17" s="18">
        <f>C14-C16</f>
        <v/>
      </c>
      <c r="C17" s="18">
        <f>D14-D16</f>
        <v/>
      </c>
      <c r="D17" s="18">
        <f>E14-E16</f>
        <v/>
      </c>
      <c r="E17" s="18">
        <f>F14-F16</f>
        <v/>
      </c>
      <c r="F17" s="18">
        <f>G14-G16</f>
        <v/>
      </c>
      <c r="G17" s="18">
        <f>H14-H16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C17-C18</f>
        <v/>
      </c>
      <c r="C19" s="8">
        <f>D17-D18</f>
        <v/>
      </c>
      <c r="D19" s="8">
        <f>E17-E18</f>
        <v/>
      </c>
      <c r="E19" s="8">
        <f>F17-F18</f>
        <v/>
      </c>
      <c r="F19" s="8">
        <f>G17-G18</f>
        <v/>
      </c>
      <c r="G19" s="8">
        <f>H17-H18</f>
        <v/>
      </c>
    </row>
    <row r="20">
      <c r="A20" s="17" t="inlineStr">
        <is>
          <t>Tax</t>
        </is>
      </c>
      <c r="B20" s="8">
        <f>IF(C19&gt;0, C19*TaxRate, 0)</f>
        <v/>
      </c>
      <c r="C20" s="8">
        <f>IF(D19&gt;0, D19*TaxRate, 0)</f>
        <v/>
      </c>
      <c r="D20" s="8">
        <f>IF(E19&gt;0, E19*TaxRate, 0)</f>
        <v/>
      </c>
      <c r="E20" s="8">
        <f>IF(F19&gt;0, F19*TaxRate, 0)</f>
        <v/>
      </c>
      <c r="F20" s="8">
        <f>IF(G19&gt;0, G19*TaxRate, 0)</f>
        <v/>
      </c>
      <c r="G20" s="8">
        <f>IF(H19&gt;0, H19*TaxRate, 0)</f>
        <v/>
      </c>
    </row>
    <row r="21">
      <c r="A21" s="39" t="inlineStr">
        <is>
          <t>Net Income</t>
        </is>
      </c>
      <c r="B21" s="23">
        <f>C19-C20</f>
        <v/>
      </c>
      <c r="C21" s="23">
        <f>D19-D20</f>
        <v/>
      </c>
      <c r="D21" s="23">
        <f>E19-E20</f>
        <v/>
      </c>
      <c r="E21" s="23">
        <f>F19-F20</f>
        <v/>
      </c>
      <c r="F21" s="23">
        <f>G19-G20</f>
        <v/>
      </c>
      <c r="G21" s="23">
        <f>H19-H20</f>
        <v/>
      </c>
    </row>
    <row r="22">
      <c r="A22" s="10" t="inlineStr">
        <is>
          <t xml:space="preserve">  Net Margin %</t>
        </is>
      </c>
      <c r="B22" s="25">
        <f>C21/C5</f>
        <v/>
      </c>
      <c r="C22" s="25">
        <f>D21/D5</f>
        <v/>
      </c>
      <c r="D22" s="25">
        <f>E21/E5</f>
        <v/>
      </c>
      <c r="E22" s="25">
        <f>F21/F5</f>
        <v/>
      </c>
      <c r="F22" s="25">
        <f>G21/G5</f>
        <v/>
      </c>
      <c r="G22" s="25">
        <f>H21/H5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C6</f>
        <v/>
      </c>
      <c r="C7" s="28">
        <f>D6</f>
        <v/>
      </c>
      <c r="D7" s="28">
        <f>E6</f>
        <v/>
      </c>
      <c r="E7" s="28">
        <f>F6</f>
        <v/>
      </c>
      <c r="F7" s="28">
        <f>G6</f>
        <v/>
      </c>
      <c r="G7" s="28">
        <f>H6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C10</f>
        <v/>
      </c>
      <c r="C11" s="28">
        <f>D10</f>
        <v/>
      </c>
      <c r="D11" s="28">
        <f>E10</f>
        <v/>
      </c>
      <c r="E11" s="28">
        <f>F10</f>
        <v/>
      </c>
      <c r="F11" s="28">
        <f>G10</f>
        <v/>
      </c>
      <c r="G11" s="28">
        <f>H10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C7+C11+C14</f>
        <v/>
      </c>
      <c r="C16" s="41">
        <f>D7+D11+D14</f>
        <v/>
      </c>
      <c r="D16" s="41">
        <f>E7+E11+E14</f>
        <v/>
      </c>
      <c r="E16" s="41">
        <f>F7+F11+F14</f>
        <v/>
      </c>
      <c r="F16" s="41">
        <f>G7+G11+G14</f>
        <v/>
      </c>
      <c r="G16" s="41">
        <f>H7+H11+H14</f>
        <v/>
      </c>
    </row>
    <row r="17">
      <c r="A17" s="16" t="inlineStr">
        <is>
          <t>Ending Cash Balance</t>
        </is>
      </c>
      <c r="B17" s="18" t="n">
        <v>10000000000</v>
      </c>
      <c r="C17" s="8">
        <f>C17+D16</f>
        <v/>
      </c>
      <c r="D17" s="8">
        <f>D17+E16</f>
        <v/>
      </c>
      <c r="E17" s="8">
        <f>E17+F16</f>
        <v/>
      </c>
      <c r="F17" s="8">
        <f>F17+G16</f>
        <v/>
      </c>
      <c r="G17" s="8">
        <f>G17+H16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(D6-C6)/C6</f>
        <v/>
      </c>
      <c r="D7" s="25">
        <f>(E6-D6)/D6</f>
        <v/>
      </c>
      <c r="E7" s="25">
        <f>(F6-E6)/E6</f>
        <v/>
      </c>
      <c r="F7" s="25">
        <f>(G6-F6)/F6</f>
        <v/>
      </c>
      <c r="G7" s="25">
        <f>(H6-G6)/G6</f>
        <v/>
      </c>
    </row>
    <row r="8">
      <c r="A8" s="10" t="inlineStr">
        <is>
          <t xml:space="preserve">  CAGR (Cumulative)</t>
        </is>
      </c>
      <c r="C8" s="42">
        <f>((D6/B6)^(1/1))-1</f>
        <v/>
      </c>
      <c r="D8" s="42">
        <f>((E6/B6)^(1/2))-1</f>
        <v/>
      </c>
      <c r="E8" s="42">
        <f>((F6/B6)^(1/3))-1</f>
        <v/>
      </c>
      <c r="F8" s="42">
        <f>((G6/B6)^(1/4))-1</f>
        <v/>
      </c>
      <c r="G8" s="42">
        <f>((H6/B6)^(1/5))-1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2025-11-04T07:12:16Z</dcterms:created>
  <dcterms:modified xmlns:dcterms="http://purl.org/dc/terms/" xmlns:xsi="http://www.w3.org/2001/XMLSchema-instance" xsi:type="dcterms:W3CDTF">2025-11-04T07:12:16Z</dcterms:modified>
</cp:coreProperties>
</file>