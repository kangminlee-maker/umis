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Estimation_Details" sheetId="3" state="visible" r:id="rId3"/>
    <sheet xmlns:r="http://schemas.openxmlformats.org/officeDocument/2006/relationships" name="Method_1_TopDown" sheetId="4" state="visible" r:id="rId4"/>
    <sheet xmlns:r="http://schemas.openxmlformats.org/officeDocument/2006/relationships" name="Method_2_BottomUp" sheetId="5" state="visible" r:id="rId5"/>
    <sheet xmlns:r="http://schemas.openxmlformats.org/officeDocument/2006/relationships" name="Method_3_Proxy" sheetId="6" state="visible" r:id="rId6"/>
    <sheet xmlns:r="http://schemas.openxmlformats.org/officeDocument/2006/relationships" name="Method_4_CompetitorRevenue" sheetId="7" state="visible" r:id="rId7"/>
    <sheet xmlns:r="http://schemas.openxmlformats.org/officeDocument/2006/relationships" name="Convergence_Analysis" sheetId="8" state="visible" r:id="rId8"/>
    <sheet xmlns:r="http://schemas.openxmlformats.org/officeDocument/2006/relationships" name="Scenarios" sheetId="9" state="visible" r:id="rId9"/>
    <sheet xmlns:r="http://schemas.openxmlformats.org/officeDocument/2006/relationships" name="Validation_Log" sheetId="10" state="visible" r:id="rId10"/>
  </sheets>
  <definedNames>
    <definedName name="TAM_VALUE">'Assumptions'!$D$2</definedName>
    <definedName name="FILTER_KOREA">'Assumptions'!$D$3</definedName>
    <definedName name="FILTER_PIANO">'Assumptions'!$D$4</definedName>
    <definedName name="SEG1_CUSTOMERS">'Assumptions'!$D$5</definedName>
    <definedName name="SEG1_RATE">'Assumptions'!$D$6</definedName>
    <definedName name="SEG1_AOV">'Assumptions'!$D$7</definedName>
    <definedName name="SEG1_FREQ">'Assumptions'!$D$8</definedName>
    <definedName name="PROXY_SIZE">'Assumptions'!$D$9</definedName>
    <definedName name="PROXY_CORR">'Assumptions'!$D$10</definedName>
    <definedName name="PROXY_APP">'Assumptions'!$D$11</definedName>
    <definedName name="COMP1_REV">'Assumptions'!$D$12</definedName>
    <definedName name="COMP1_SHARE">'Assumptions'!$D$13</definedName>
    <definedName name="SAM">'Method_1_TopDown'!$C$6</definedName>
    <definedName name="SAM_Method2">'Method_2_BottomUp'!$F$6</definedName>
    <definedName name="SAM_Method3">'Method_3_Proxy'!$B$7</definedName>
    <definedName name="SAM_Method4">'Method_4_CompetitorRevenue'!$B$7</definedName>
    <definedName name="AvgSAM_Best">'Scenarios'!$B$22</definedName>
    <definedName name="AvgSAM_Base">'Scenarios'!$C$22</definedName>
    <definedName name="AvgSAM_Worst">'Scenarios'!$D$22</definedName>
  </definedNames>
  <calcPr calcId="124519" calcMode="auto" fullCalcOnLoad="1"/>
</workbook>
</file>

<file path=xl/styles.xml><?xml version="1.0" encoding="utf-8"?>
<styleSheet xmlns="http://schemas.openxmlformats.org/spreadsheetml/2006/main">
  <numFmts count="2">
    <numFmt numFmtId="164" formatCode="0.0&quot;%&quot;"/>
    <numFmt numFmtId="165" formatCode="0.0%"/>
  </numFmts>
  <fonts count="21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  <font>
      <b val="1"/>
      <sz val="12"/>
    </font>
    <font>
      <i val="1"/>
      <color rgb="00666666"/>
      <sz val="10"/>
    </font>
    <font>
      <b val="1"/>
      <color rgb="00FFFFFF"/>
      <sz val="10"/>
    </font>
    <font>
      <sz val="10"/>
    </font>
    <font>
      <b val="1"/>
      <sz val="11"/>
    </font>
    <font>
      <b val="1"/>
      <sz val="10"/>
    </font>
    <font>
      <sz val="9"/>
    </font>
    <font>
      <i val="1"/>
      <color rgb="00666666"/>
      <sz val="9"/>
    </font>
    <font>
      <b val="1"/>
      <color rgb="00006100"/>
    </font>
    <font>
      <b val="1"/>
      <color rgb="009C0006"/>
    </font>
    <font>
      <b val="1"/>
      <color rgb="00FFFFFF"/>
      <sz val="16"/>
    </font>
    <font>
      <i val="1"/>
      <color rgb="00666666"/>
      <sz val="12"/>
    </font>
    <font>
      <b val="1"/>
      <color rgb="000070C0"/>
      <sz val="10"/>
    </font>
    <font>
      <b val="1"/>
      <color rgb="00006100"/>
      <sz val="10"/>
    </font>
    <font>
      <b val="1"/>
      <color rgb="009C6500"/>
      <sz val="10"/>
    </font>
    <font>
      <color rgb="00666666"/>
      <sz val="9"/>
    </font>
    <font>
      <b val="1"/>
      <color rgb="000070C0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E7E6E6"/>
        <bgColor rgb="00E7E6E6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DDEBF7"/>
        <bgColor rgb="00DDEBF7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4" fillId="2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/>
    </xf>
    <xf numFmtId="0" fontId="4" fillId="0" borderId="0" pivotButton="0" quotePrefix="0" xfId="0"/>
    <xf numFmtId="0" fontId="7" fillId="0" borderId="0" pivotButton="0" quotePrefix="0" xfId="0"/>
    <xf numFmtId="3" fontId="9" fillId="0" borderId="0" pivotButton="0" quotePrefix="0" xfId="0"/>
    <xf numFmtId="3" fontId="16" fillId="7" borderId="0" pivotButton="0" quotePrefix="0" xfId="0"/>
    <xf numFmtId="0" fontId="6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2" fontId="9" fillId="0" borderId="0" pivotButton="0" quotePrefix="0" xfId="0"/>
    <xf numFmtId="0" fontId="9" fillId="0" borderId="0" pivotButton="0" quotePrefix="0" xfId="0"/>
    <xf numFmtId="3" fontId="0" fillId="5" borderId="0" pivotButton="0" quotePrefix="0" xfId="0"/>
    <xf numFmtId="3" fontId="3" fillId="0" borderId="0" pivotButton="0" quotePrefix="0" xfId="0"/>
    <xf numFmtId="3" fontId="0" fillId="6" borderId="0" pivotButton="0" quotePrefix="0" xfId="0"/>
    <xf numFmtId="0" fontId="17" fillId="5" borderId="0" pivotButton="0" quotePrefix="0" xfId="0"/>
    <xf numFmtId="0" fontId="18" fillId="8" borderId="0" pivotButton="0" quotePrefix="0" xfId="0"/>
    <xf numFmtId="0" fontId="5" fillId="0" borderId="0" pivotButton="0" quotePrefix="0" xfId="0"/>
    <xf numFmtId="0" fontId="19" fillId="0" borderId="0" pivotButton="0" quotePrefix="0" xfId="0"/>
    <xf numFmtId="0" fontId="1" fillId="2" borderId="0" applyAlignment="1" pivotButton="0" quotePrefix="0" xfId="0">
      <alignment horizontal="center" vertical="center"/>
    </xf>
    <xf numFmtId="3" fontId="0" fillId="3" borderId="0" applyAlignment="1" pivotButton="0" quotePrefix="0" xfId="0">
      <alignment horizontal="right"/>
    </xf>
    <xf numFmtId="0" fontId="1" fillId="2" borderId="0" pivotButton="0" quotePrefix="0" xfId="0"/>
    <xf numFmtId="0" fontId="2" fillId="0" borderId="0" pivotButton="0" quotePrefix="0" xfId="0"/>
    <xf numFmtId="0" fontId="4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3" fontId="0" fillId="4" borderId="0" pivotButton="0" quotePrefix="0" xfId="0"/>
    <xf numFmtId="3" fontId="4" fillId="5" borderId="0" pivotButton="0" quotePrefix="0" xfId="0"/>
    <xf numFmtId="0" fontId="3" fillId="0" borderId="0" pivotButton="0" quotePrefix="0" xfId="0"/>
    <xf numFmtId="165" fontId="0" fillId="0" borderId="0" pivotButton="0" quotePrefix="0" xfId="0"/>
    <xf numFmtId="0" fontId="3" fillId="2" borderId="0" applyAlignment="1" pivotButton="0" quotePrefix="0" xfId="0">
      <alignment horizontal="center"/>
    </xf>
    <xf numFmtId="3" fontId="3" fillId="5" borderId="0" pivotButton="0" quotePrefix="0" xfId="0"/>
    <xf numFmtId="2" fontId="0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3" fillId="4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7" fillId="0" borderId="1" pivotButton="0" quotePrefix="0" xfId="0"/>
    <xf numFmtId="0" fontId="9" fillId="0" borderId="1" applyAlignment="1" pivotButton="0" quotePrefix="0" xfId="0">
      <alignment horizontal="center"/>
    </xf>
    <xf numFmtId="0" fontId="10" fillId="0" borderId="1" applyAlignment="1" pivotButton="0" quotePrefix="0" xfId="0">
      <alignment wrapText="1"/>
    </xf>
    <xf numFmtId="0" fontId="12" fillId="5" borderId="0" pivotButton="0" quotePrefix="0" xfId="0"/>
    <xf numFmtId="0" fontId="13" fillId="6" borderId="0" pivotButton="0" quotePrefix="0" xfId="0"/>
    <xf numFmtId="3" fontId="20" fillId="7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3" fillId="0" borderId="0" pivotButton="0" quotePrefix="0" xfId="0"/>
  </cellXfs>
  <cellStyles count="1">
    <cellStyle name="Normal" xfId="0" builtinId="0" hidden="0"/>
  </cellStyles>
  <dxfs count="5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Bill (Quantifier)</author>
  </authors>
  <commentList>
    <comment ref="A4" authorId="0" shapeId="0">
      <text>
        <t>추정 논리:
출처: EST_001
신뢰도: Medium
Estimation_Details 시트 참조</t>
      </text>
    </comment>
    <comment ref="A5" authorId="0" shapeId="0">
      <text>
        <t>추정 논리:
출처: EST_002
신뢰도: Medium
Estimation_Details 시트 참조</t>
      </text>
    </comment>
    <comment ref="A6" authorId="0" shapeId="0">
      <text>
        <t>추정 논리:
출처: EST_003
신뢰도: Medium
Estimation_Details 시트 참조</t>
      </text>
    </comment>
    <comment ref="A10" authorId="0" shapeId="0">
      <text>
        <t>추정 논리:
출처: EST_004
신뢰도: Low
Estimation_Details 시트 참조</t>
      </text>
    </comment>
    <comment ref="A11" authorId="0" shapeId="0">
      <text>
        <t>추정 논리:
출처: EST_005
신뢰도: Medium
Estimation_Details 시트 참조</t>
      </text>
    </comment>
    <comment ref="A13" authorId="0" shapeId="0">
      <text>
        <t>추정 논리:
출처: EST_006
신뢰도: Medium
Estimation_Details 시트 참조</t>
      </text>
    </comment>
  </commentList>
</comments>
</file>

<file path=xl/comments/comment2.xml><?xml version="1.0" encoding="utf-8"?>
<comments xmlns="http://schemas.openxmlformats.org/spreadsheetml/2006/main">
  <authors>
    <author>System</author>
  </authors>
  <commentList>
    <comment ref="A5" authorId="0" shapeId="0">
      <text>
        <t>원 수식: =TAM_VALUE</t>
      </text>
    </comment>
    <comment ref="B6" authorId="0" shapeId="0">
      <text>
        <t>원 수식: =A5*B5</t>
      </text>
    </comment>
    <comment ref="C6" authorId="0" shapeId="0">
      <text>
        <t>원 수식: =B6*C5
SAM (Method 1)</t>
      </text>
    </comment>
  </commentList>
</comments>
</file>

<file path=xl/comments/comment3.xml><?xml version="1.0" encoding="utf-8"?>
<comments xmlns="http://schemas.openxmlformats.org/spreadsheetml/2006/main">
  <authors>
    <author>System</author>
  </authors>
  <commentList>
    <comment ref="F4" authorId="0" shapeId="0">
      <text>
        <t>원 수식: =B4*C4*D4*E4</t>
      </text>
    </comment>
    <comment ref="F6" authorId="0" shapeId="0">
      <text>
        <t>원 수식: =SUM(F4:F4)
SAM (Method 2)</t>
      </text>
    </comment>
  </commentList>
</comments>
</file>

<file path=xl/comments/comment4.xml><?xml version="1.0" encoding="utf-8"?>
<comments xmlns="http://schemas.openxmlformats.org/spreadsheetml/2006/main">
  <authors>
    <author>System</author>
  </authors>
  <commentList>
    <comment ref="B7" authorId="0" shapeId="0">
      <text>
        <t>원 수식: =B3*B4*B5
SAM (Method 3)</t>
      </text>
    </comment>
  </commentList>
</comments>
</file>

<file path=xl/comments/comment5.xml><?xml version="1.0" encoding="utf-8"?>
<comments xmlns="http://schemas.openxmlformats.org/spreadsheetml/2006/main">
  <authors>
    <author>System</author>
  </authors>
  <commentList>
    <comment ref="B7" authorId="0" shapeId="0">
      <text>
        <t>원 수식: =B5/C5
SAM (Method 4)</t>
      </text>
    </comment>
  </commentList>
</comments>
</file>

<file path=xl/comments/comment6.xml><?xml version="1.0" encoding="utf-8"?>
<comments xmlns="http://schemas.openxmlformats.org/spreadsheetml/2006/main">
  <authors>
    <author>System</author>
  </authors>
  <commentList>
    <comment ref="B8" authorId="0" shapeId="0">
      <text>
        <t>원 수식: =AVERAGE(B4:B7)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30" customHeight="1">
      <c r="A1" s="1" t="inlineStr">
        <is>
          <t>Market Sizing Summary Dashboard</t>
        </is>
      </c>
    </row>
    <row r="2">
      <c r="A2" s="2" t="inlineStr">
        <is>
          <t>piano_subscription_example</t>
        </is>
      </c>
    </row>
    <row r="4">
      <c r="A4" s="3" t="inlineStr">
        <is>
          <t>1. Key Metrics</t>
        </is>
      </c>
    </row>
    <row r="5">
      <c r="A5" s="4" t="inlineStr">
        <is>
          <t>Total Addressable Market (TAM):</t>
        </is>
      </c>
      <c r="B5" s="5" t="n">
        <v>100000000000</v>
      </c>
    </row>
    <row r="6">
      <c r="A6" s="4" t="inlineStr">
        <is>
          <t>Serviceable Addressable Market (SAM):</t>
        </is>
      </c>
      <c r="B6" s="43" t="n">
        <v>12062500000</v>
      </c>
    </row>
    <row r="8">
      <c r="A8" s="3" t="inlineStr">
        <is>
          <t>2. SAM Calculation Results</t>
        </is>
      </c>
    </row>
    <row r="9">
      <c r="A9" s="7" t="inlineStr">
        <is>
          <t>Method</t>
        </is>
      </c>
      <c r="B9" s="7" t="inlineStr">
        <is>
          <t>SAM</t>
        </is>
      </c>
      <c r="C9" s="7" t="inlineStr">
        <is>
          <t>% of Avg</t>
        </is>
      </c>
    </row>
    <row r="10">
      <c r="A10" s="4" t="inlineStr">
        <is>
          <t>Method 1: Top-Down</t>
        </is>
      </c>
      <c r="B10" s="8" t="n">
        <v>3750000000</v>
      </c>
      <c r="C10" s="44">
        <f>B10/B7*100</f>
        <v/>
      </c>
    </row>
    <row r="11">
      <c r="A11" s="4" t="inlineStr">
        <is>
          <t>Method 2: Bottom-Up</t>
        </is>
      </c>
      <c r="B11" s="8" t="n">
        <v>12000000000</v>
      </c>
      <c r="C11" s="44">
        <f>B11/B7*100</f>
        <v/>
      </c>
    </row>
    <row r="12">
      <c r="A12" s="4" t="inlineStr">
        <is>
          <t>Method 3: Proxy</t>
        </is>
      </c>
      <c r="B12" s="8" t="n">
        <v>7500000000</v>
      </c>
      <c r="C12" s="44">
        <f>B12/B7*100</f>
        <v/>
      </c>
    </row>
    <row r="13">
      <c r="A13" s="4" t="inlineStr">
        <is>
          <t>Method 4: Competitor Revenue</t>
        </is>
      </c>
      <c r="B13" s="8" t="n">
        <v>25000000000</v>
      </c>
      <c r="C13" s="44">
        <f>B13/B7*100</f>
        <v/>
      </c>
    </row>
    <row r="15">
      <c r="A15" s="3" t="inlineStr">
        <is>
          <t>3. Convergence Analysis</t>
        </is>
      </c>
    </row>
    <row r="16">
      <c r="A16" s="4" t="inlineStr">
        <is>
          <t>Max/Min Ratio:</t>
        </is>
      </c>
      <c r="B16" s="10">
        <f>Convergence_Analysis!B11</f>
        <v/>
      </c>
    </row>
    <row r="17">
      <c r="A17" s="4" t="inlineStr">
        <is>
          <t>Convergence Status:</t>
        </is>
      </c>
      <c r="B17" s="11">
        <f>Convergence_Analysis!B12</f>
        <v/>
      </c>
    </row>
    <row r="18">
      <c r="A18" s="4" t="inlineStr">
        <is>
          <t>Standard Deviation:</t>
        </is>
      </c>
      <c r="B18" s="8">
        <f>Convergence_Analysis!C17</f>
        <v/>
      </c>
    </row>
    <row r="19">
      <c r="A19" s="4" t="inlineStr">
        <is>
          <t>Coefficient of Variation (CV%):</t>
        </is>
      </c>
      <c r="B19" s="44">
        <f>Convergence_Analysis!C18</f>
        <v/>
      </c>
    </row>
    <row r="21">
      <c r="A21" s="3" t="inlineStr">
        <is>
          <t>4. Scenario Analysis</t>
        </is>
      </c>
    </row>
    <row r="22">
      <c r="A22" s="7" t="inlineStr">
        <is>
          <t>Scenario</t>
        </is>
      </c>
      <c r="B22" s="7" t="inlineStr">
        <is>
          <t>Average SAM</t>
        </is>
      </c>
    </row>
    <row r="23">
      <c r="A23" s="4" t="inlineStr">
        <is>
          <t>Best Case (+15%)</t>
        </is>
      </c>
      <c r="B23" s="12">
        <f>AvgSAM_Best</f>
        <v/>
      </c>
    </row>
    <row r="24">
      <c r="A24" s="4" t="inlineStr">
        <is>
          <t>Base Case (Current)</t>
        </is>
      </c>
      <c r="B24" s="13">
        <f>AvgSAM_Base</f>
        <v/>
      </c>
    </row>
    <row r="25">
      <c r="A25" s="4" t="inlineStr">
        <is>
          <t>Worst Case (-15%)</t>
        </is>
      </c>
      <c r="B25" s="14">
        <f>AvgSAM_Worst</f>
        <v/>
      </c>
    </row>
    <row r="26">
      <c r="A26" s="4" t="inlineStr">
        <is>
          <t>Range (Best - Worst)</t>
        </is>
      </c>
      <c r="B26" s="13">
        <f>B23-B25</f>
        <v/>
      </c>
    </row>
    <row r="28">
      <c r="A28" s="3" t="inlineStr">
        <is>
          <t>5. Validation Status</t>
        </is>
      </c>
    </row>
    <row r="29">
      <c r="A29" s="4" t="inlineStr">
        <is>
          <t>Total Validation Items:</t>
        </is>
      </c>
      <c r="B29" s="11">
        <f>Validation_Log!B19</f>
        <v/>
      </c>
    </row>
    <row r="30">
      <c r="A30" s="4" t="inlineStr">
        <is>
          <t>Validated:</t>
        </is>
      </c>
      <c r="B30" s="15">
        <f>Validation_Log!B20</f>
        <v/>
      </c>
    </row>
    <row r="31">
      <c r="A31" s="4" t="inlineStr">
        <is>
          <t>Pending:</t>
        </is>
      </c>
      <c r="B31" s="16">
        <f>Validation_Log!B21</f>
        <v/>
      </c>
    </row>
    <row r="32">
      <c r="A32" s="4" t="inlineStr">
        <is>
          <t>Completion Rate:</t>
        </is>
      </c>
      <c r="B32" s="11">
        <f>Validation_Log!B22</f>
        <v/>
      </c>
    </row>
    <row r="35">
      <c r="A35" s="17" t="inlineStr">
        <is>
          <t>📊 Detailed Analysis</t>
        </is>
      </c>
    </row>
    <row r="36">
      <c r="A36" s="18" t="inlineStr">
        <is>
          <t>• Assumptions: 가정 및 추정치 상세</t>
        </is>
      </c>
    </row>
    <row r="37">
      <c r="A37" s="18" t="inlineStr">
        <is>
          <t>• Methods 1-4: 각 계산 방법 상세</t>
        </is>
      </c>
    </row>
    <row r="38">
      <c r="A38" s="18" t="inlineStr">
        <is>
          <t>• Convergence Analysis: 수렴 분석 상세</t>
        </is>
      </c>
    </row>
    <row r="39">
      <c r="A39" s="18" t="inlineStr">
        <is>
          <t>• Scenarios: 시나리오 분석 상세</t>
        </is>
      </c>
    </row>
    <row r="40">
      <c r="A40" s="18" t="inlineStr">
        <is>
          <t>• Validation Log: 검증 이력 상세</t>
        </is>
      </c>
    </row>
  </sheetData>
  <mergeCells count="7">
    <mergeCell ref="A4:B4"/>
    <mergeCell ref="A2:F2"/>
    <mergeCell ref="A28:C28"/>
    <mergeCell ref="A1:F1"/>
    <mergeCell ref="A8:C8"/>
    <mergeCell ref="A21:C21"/>
    <mergeCell ref="A15:C15"/>
  </mergeCells>
  <conditionalFormatting sqref="B17">
    <cfRule type="expression" priority="1" dxfId="0" stopIfTrue="1">
      <formula>ISNUMBER(SEARCH("통과", B17))</formula>
    </cfRule>
    <cfRule type="expression" priority="2" dxfId="1" stopIfTrue="1">
      <formula>ISNUMBER(SEARCH("재검토", B17))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40" customWidth="1" min="3" max="3"/>
    <col width="15" customWidth="1" min="4" max="4"/>
    <col width="10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9" t="inlineStr">
        <is>
          <t>ID</t>
        </is>
      </c>
      <c r="B1" s="19" t="inlineStr">
        <is>
          <t>Category</t>
        </is>
      </c>
      <c r="C1" s="19" t="inlineStr">
        <is>
          <t>Description</t>
        </is>
      </c>
      <c r="D1" s="19" t="inlineStr">
        <is>
          <t>Value</t>
        </is>
      </c>
      <c r="E1" s="19" t="inlineStr">
        <is>
          <t>Unit</t>
        </is>
      </c>
      <c r="F1" s="19" t="inlineStr">
        <is>
          <t>Data_Type</t>
        </is>
      </c>
      <c r="G1" s="19" t="inlineStr">
        <is>
          <t>Source</t>
        </is>
      </c>
      <c r="H1" s="19" t="inlineStr">
        <is>
          <t>Confidence</t>
        </is>
      </c>
      <c r="I1" s="19" t="inlineStr">
        <is>
          <t>Notes</t>
        </is>
      </c>
    </row>
    <row r="2">
      <c r="A2" t="inlineStr">
        <is>
          <t>TAM_VALUE</t>
        </is>
      </c>
      <c r="B2" t="inlineStr">
        <is>
          <t>TAM</t>
        </is>
      </c>
      <c r="C2" t="inlineStr">
        <is>
          <t>글로벌 악기 시장</t>
        </is>
      </c>
      <c r="D2" s="20" t="n">
        <v>100000000000</v>
      </c>
      <c r="E2" t="inlineStr">
        <is>
          <t>원</t>
        </is>
      </c>
      <c r="F2" t="inlineStr">
        <is>
          <t>직접데이터</t>
        </is>
      </c>
      <c r="G2" t="inlineStr">
        <is>
          <t>SRC_001</t>
        </is>
      </c>
      <c r="H2" t="inlineStr">
        <is>
          <t>High</t>
        </is>
      </c>
    </row>
    <row r="3">
      <c r="A3" t="inlineStr">
        <is>
          <t>FILTER_KOREA</t>
        </is>
      </c>
      <c r="B3" t="inlineStr">
        <is>
          <t>지역</t>
        </is>
      </c>
      <c r="C3" t="inlineStr">
        <is>
          <t>한국 비중</t>
        </is>
      </c>
      <c r="D3" s="20" t="n">
        <v>0.15</v>
      </c>
      <c r="E3" t="inlineStr">
        <is>
          <t>%</t>
        </is>
      </c>
      <c r="F3" t="inlineStr">
        <is>
          <t>직접데이터</t>
        </is>
      </c>
      <c r="G3" t="inlineStr">
        <is>
          <t>SRC_002</t>
        </is>
      </c>
      <c r="H3" t="inlineStr">
        <is>
          <t>High</t>
        </is>
      </c>
    </row>
    <row r="4">
      <c r="A4" t="inlineStr">
        <is>
          <t>FILTER_PIANO</t>
        </is>
      </c>
      <c r="B4" t="inlineStr">
        <is>
          <t>제품</t>
        </is>
      </c>
      <c r="C4" t="inlineStr">
        <is>
          <t>피아노 비중</t>
        </is>
      </c>
      <c r="D4" s="20" t="n">
        <v>0.25</v>
      </c>
      <c r="E4" t="inlineStr">
        <is>
          <t>%</t>
        </is>
      </c>
      <c r="F4" t="inlineStr">
        <is>
          <t>추정치</t>
        </is>
      </c>
      <c r="G4" t="inlineStr">
        <is>
          <t>EST_001</t>
        </is>
      </c>
      <c r="H4" t="inlineStr">
        <is>
          <t>Medium</t>
        </is>
      </c>
    </row>
    <row r="5">
      <c r="A5" t="inlineStr">
        <is>
          <t>SEG1_CUSTOMERS</t>
        </is>
      </c>
      <c r="B5" t="inlineStr">
        <is>
          <t>세그먼트1</t>
        </is>
      </c>
      <c r="C5" t="inlineStr">
        <is>
          <t>타겟 고객 수</t>
        </is>
      </c>
      <c r="D5" s="20" t="n">
        <v>100000</v>
      </c>
      <c r="E5" t="inlineStr">
        <is>
          <t>명</t>
        </is>
      </c>
      <c r="F5" t="inlineStr">
        <is>
          <t>추정치</t>
        </is>
      </c>
      <c r="G5" t="inlineStr">
        <is>
          <t>EST_002</t>
        </is>
      </c>
      <c r="H5" t="inlineStr">
        <is>
          <t>Medium</t>
        </is>
      </c>
    </row>
    <row r="6">
      <c r="A6" t="inlineStr">
        <is>
          <t>SEG1_RATE</t>
        </is>
      </c>
      <c r="B6" t="inlineStr">
        <is>
          <t>세그먼트1</t>
        </is>
      </c>
      <c r="C6" t="inlineStr">
        <is>
          <t>구독 전환율</t>
        </is>
      </c>
      <c r="D6" s="20" t="n">
        <v>0.2</v>
      </c>
      <c r="E6" t="inlineStr">
        <is>
          <t>%</t>
        </is>
      </c>
      <c r="F6" t="inlineStr">
        <is>
          <t>추정치</t>
        </is>
      </c>
      <c r="G6" t="inlineStr">
        <is>
          <t>EST_003</t>
        </is>
      </c>
      <c r="H6" t="inlineStr">
        <is>
          <t>Medium</t>
        </is>
      </c>
    </row>
    <row r="7">
      <c r="A7" t="inlineStr">
        <is>
          <t>SEG1_AOV</t>
        </is>
      </c>
      <c r="B7" t="inlineStr">
        <is>
          <t>세그먼트1</t>
        </is>
      </c>
      <c r="C7" t="inlineStr">
        <is>
          <t>월 구독료</t>
        </is>
      </c>
      <c r="D7" s="20" t="n">
        <v>50000</v>
      </c>
      <c r="E7" t="inlineStr">
        <is>
          <t>원</t>
        </is>
      </c>
      <c r="F7" t="inlineStr">
        <is>
          <t>직접데이터</t>
        </is>
      </c>
      <c r="G7" t="inlineStr">
        <is>
          <t>SRC_003</t>
        </is>
      </c>
      <c r="H7" t="inlineStr">
        <is>
          <t>High</t>
        </is>
      </c>
    </row>
    <row r="8">
      <c r="A8" t="inlineStr">
        <is>
          <t>SEG1_FREQ</t>
        </is>
      </c>
      <c r="B8" t="inlineStr">
        <is>
          <t>세그먼트1</t>
        </is>
      </c>
      <c r="C8" t="inlineStr">
        <is>
          <t>연간 결제</t>
        </is>
      </c>
      <c r="D8" s="20" t="n">
        <v>12</v>
      </c>
      <c r="E8" t="inlineStr">
        <is>
          <t>회</t>
        </is>
      </c>
      <c r="F8" t="inlineStr">
        <is>
          <t>직접데이터</t>
        </is>
      </c>
      <c r="G8" t="inlineStr">
        <is>
          <t>SRC_004</t>
        </is>
      </c>
      <c r="H8" t="inlineStr">
        <is>
          <t>High</t>
        </is>
      </c>
    </row>
    <row r="9">
      <c r="A9" t="inlineStr">
        <is>
          <t>PROXY_SIZE</t>
        </is>
      </c>
      <c r="B9" t="inlineStr">
        <is>
          <t>Proxy</t>
        </is>
      </c>
      <c r="C9" t="inlineStr">
        <is>
          <t>유사 시장 규모</t>
        </is>
      </c>
      <c r="D9" s="20" t="n">
        <v>50000000000</v>
      </c>
      <c r="E9" t="inlineStr">
        <is>
          <t>원</t>
        </is>
      </c>
      <c r="F9" t="inlineStr">
        <is>
          <t>직접데이터</t>
        </is>
      </c>
      <c r="G9" t="inlineStr">
        <is>
          <t>SRC_005</t>
        </is>
      </c>
      <c r="H9" t="inlineStr">
        <is>
          <t>Medium</t>
        </is>
      </c>
    </row>
    <row r="10">
      <c r="A10" t="inlineStr">
        <is>
          <t>PROXY_CORR</t>
        </is>
      </c>
      <c r="B10" t="inlineStr">
        <is>
          <t>Proxy</t>
        </is>
      </c>
      <c r="C10" t="inlineStr">
        <is>
          <t>상관계수</t>
        </is>
      </c>
      <c r="D10" s="20" t="n">
        <v>0.3</v>
      </c>
      <c r="F10" t="inlineStr">
        <is>
          <t>추정치</t>
        </is>
      </c>
      <c r="G10" t="inlineStr">
        <is>
          <t>EST_004</t>
        </is>
      </c>
      <c r="H10" t="inlineStr">
        <is>
          <t>Low</t>
        </is>
      </c>
    </row>
    <row r="11">
      <c r="A11" t="inlineStr">
        <is>
          <t>PROXY_APP</t>
        </is>
      </c>
      <c r="B11" t="inlineStr">
        <is>
          <t>Proxy</t>
        </is>
      </c>
      <c r="C11" t="inlineStr">
        <is>
          <t>적용 비율</t>
        </is>
      </c>
      <c r="D11" s="20" t="n">
        <v>0.5</v>
      </c>
      <c r="E11" t="inlineStr">
        <is>
          <t>%</t>
        </is>
      </c>
      <c r="F11" t="inlineStr">
        <is>
          <t>추정치</t>
        </is>
      </c>
      <c r="G11" t="inlineStr">
        <is>
          <t>EST_005</t>
        </is>
      </c>
      <c r="H11" t="inlineStr">
        <is>
          <t>Medium</t>
        </is>
      </c>
    </row>
    <row r="12">
      <c r="A12" t="inlineStr">
        <is>
          <t>COMP1_REV</t>
        </is>
      </c>
      <c r="B12" t="inlineStr">
        <is>
          <t>경쟁사1</t>
        </is>
      </c>
      <c r="C12" t="inlineStr">
        <is>
          <t>경쟁사A 매출</t>
        </is>
      </c>
      <c r="D12" s="20" t="n">
        <v>10000000000</v>
      </c>
      <c r="E12" t="inlineStr">
        <is>
          <t>원</t>
        </is>
      </c>
      <c r="F12" t="inlineStr">
        <is>
          <t>직접데이터</t>
        </is>
      </c>
      <c r="G12" t="inlineStr">
        <is>
          <t>SRC_006</t>
        </is>
      </c>
      <c r="H12" t="inlineStr">
        <is>
          <t>High</t>
        </is>
      </c>
    </row>
    <row r="13">
      <c r="A13" t="inlineStr">
        <is>
          <t>COMP1_SHARE</t>
        </is>
      </c>
      <c r="B13" t="inlineStr">
        <is>
          <t>경쟁사1</t>
        </is>
      </c>
      <c r="C13" t="inlineStr">
        <is>
          <t>시장 점유율</t>
        </is>
      </c>
      <c r="D13" s="20" t="n">
        <v>0.4</v>
      </c>
      <c r="E13" t="inlineStr">
        <is>
          <t>%</t>
        </is>
      </c>
      <c r="F13" t="inlineStr">
        <is>
          <t>추정치</t>
        </is>
      </c>
      <c r="G13" t="inlineStr">
        <is>
          <t>EST_006</t>
        </is>
      </c>
      <c r="H13" t="inlineStr">
        <is>
          <t>Medium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50" customWidth="1" min="3" max="3"/>
    <col width="30" customWidth="1" min="4" max="4"/>
    <col width="30" customWidth="1" min="5" max="5"/>
    <col width="15" customWidth="1" min="6" max="6"/>
    <col width="20" customWidth="1" min="7" max="7"/>
    <col width="12" customWidth="1" min="8" max="8"/>
  </cols>
  <sheetData>
    <row r="1">
      <c r="A1" s="21" t="inlineStr">
        <is>
          <t>Estimation_ID</t>
        </is>
      </c>
      <c r="B1" s="21" t="inlineStr">
        <is>
          <t>Description</t>
        </is>
      </c>
      <c r="C1" s="21" t="inlineStr">
        <is>
          <t>Estimation_Logic</t>
        </is>
      </c>
      <c r="D1" s="21" t="inlineStr">
        <is>
          <t>Base_Data</t>
        </is>
      </c>
      <c r="E1" s="21" t="inlineStr">
        <is>
          <t>Calculation</t>
        </is>
      </c>
      <c r="F1" s="21" t="inlineStr">
        <is>
          <t>Result</t>
        </is>
      </c>
      <c r="G1" s="21" t="inlineStr">
        <is>
          <t>Source</t>
        </is>
      </c>
      <c r="H1" s="21" t="inlineStr">
        <is>
          <t>Confidence</t>
        </is>
      </c>
    </row>
    <row r="2">
      <c r="A2" t="inlineStr">
        <is>
          <t>FILTER_PIANO</t>
        </is>
      </c>
      <c r="B2" t="inlineStr">
        <is>
          <t>피아노 비중</t>
        </is>
      </c>
      <c r="F2" t="n">
        <v>0.25</v>
      </c>
      <c r="G2" t="inlineStr">
        <is>
          <t>EST_001</t>
        </is>
      </c>
      <c r="H2" t="inlineStr">
        <is>
          <t>Medium</t>
        </is>
      </c>
    </row>
    <row r="3">
      <c r="A3" t="inlineStr">
        <is>
          <t>SEG1_CUSTOMERS</t>
        </is>
      </c>
      <c r="B3" t="inlineStr">
        <is>
          <t>타겟 고객 수</t>
        </is>
      </c>
      <c r="F3" t="n">
        <v>100000</v>
      </c>
      <c r="G3" t="inlineStr">
        <is>
          <t>EST_002</t>
        </is>
      </c>
      <c r="H3" t="inlineStr">
        <is>
          <t>Medium</t>
        </is>
      </c>
    </row>
    <row r="4">
      <c r="A4" t="inlineStr">
        <is>
          <t>SEG1_RATE</t>
        </is>
      </c>
      <c r="B4" t="inlineStr">
        <is>
          <t>구독 전환율</t>
        </is>
      </c>
      <c r="F4" t="n">
        <v>0.2</v>
      </c>
      <c r="G4" t="inlineStr">
        <is>
          <t>EST_003</t>
        </is>
      </c>
      <c r="H4" t="inlineStr">
        <is>
          <t>Medium</t>
        </is>
      </c>
    </row>
    <row r="5">
      <c r="A5" t="inlineStr">
        <is>
          <t>PROXY_CORR</t>
        </is>
      </c>
      <c r="B5" t="inlineStr">
        <is>
          <t>상관계수</t>
        </is>
      </c>
      <c r="F5" t="n">
        <v>0.3</v>
      </c>
      <c r="G5" t="inlineStr">
        <is>
          <t>EST_004</t>
        </is>
      </c>
      <c r="H5" t="inlineStr">
        <is>
          <t>Low</t>
        </is>
      </c>
    </row>
    <row r="6">
      <c r="A6" t="inlineStr">
        <is>
          <t>PROXY_APP</t>
        </is>
      </c>
      <c r="B6" t="inlineStr">
        <is>
          <t>적용 비율</t>
        </is>
      </c>
      <c r="F6" t="n">
        <v>0.5</v>
      </c>
      <c r="G6" t="inlineStr">
        <is>
          <t>EST_005</t>
        </is>
      </c>
      <c r="H6" t="inlineStr">
        <is>
          <t>Medium</t>
        </is>
      </c>
    </row>
    <row r="7">
      <c r="A7" t="inlineStr">
        <is>
          <t>COMP1_SHARE</t>
        </is>
      </c>
      <c r="B7" t="inlineStr">
        <is>
          <t>시장 점유율</t>
        </is>
      </c>
      <c r="F7" t="n">
        <v>0.4</v>
      </c>
      <c r="G7" t="inlineStr">
        <is>
          <t>EST_006</t>
        </is>
      </c>
      <c r="H7" t="inlineStr">
        <is>
          <t>Medium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Method 1: Top-Down Approach</t>
        </is>
      </c>
    </row>
    <row r="2">
      <c r="C2" s="23">
        <f> SAM</f>
        <v/>
      </c>
    </row>
    <row r="3">
      <c r="A3" t="inlineStr">
        <is>
          <t>TAM</t>
        </is>
      </c>
      <c r="B3" s="24" t="inlineStr">
        <is>
          <t>지역</t>
        </is>
      </c>
      <c r="C3" s="24" t="inlineStr">
        <is>
          <t>제품</t>
        </is>
      </c>
    </row>
    <row r="4">
      <c r="A4" t="inlineStr">
        <is>
          <t>글로벌 악기 시장</t>
        </is>
      </c>
      <c r="B4" t="inlineStr">
        <is>
          <t>한국 비중 15%</t>
        </is>
      </c>
      <c r="C4" t="inlineStr">
        <is>
          <t>피아노만 25%</t>
        </is>
      </c>
    </row>
    <row r="5">
      <c r="A5" s="25" t="n">
        <v>100000000000</v>
      </c>
      <c r="B5" s="45" t="n">
        <v>0.15</v>
      </c>
      <c r="C5" s="45" t="n">
        <v>0.25</v>
      </c>
    </row>
    <row r="6">
      <c r="B6" s="25" t="n">
        <v>15000000000</v>
      </c>
      <c r="C6" s="30" t="n">
        <v>3750000000</v>
      </c>
    </row>
    <row r="10">
      <c r="A10" s="27" t="inlineStr">
        <is>
          <t>검증</t>
        </is>
      </c>
    </row>
    <row r="11">
      <c r="A11" t="inlineStr">
        <is>
          <t>TAM &gt; SAM?</t>
        </is>
      </c>
      <c r="B11">
        <f>IF(A5&gt;C6, "✅", "❌")</f>
        <v/>
      </c>
    </row>
    <row r="12">
      <c r="A12" t="inlineStr">
        <is>
          <t>SAM &gt; 0?</t>
        </is>
      </c>
      <c r="B12">
        <f>IF(C6&gt;0, "✅", "❌")</f>
        <v/>
      </c>
    </row>
  </sheetData>
  <mergeCells count="1">
    <mergeCell ref="A1:F1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Method 2: Bottom-Up Approach</t>
        </is>
      </c>
    </row>
    <row r="3">
      <c r="A3" s="24" t="inlineStr">
        <is>
          <t>Segment</t>
        </is>
      </c>
      <c r="B3" s="24" t="inlineStr">
        <is>
          <t>Target Customers</t>
        </is>
      </c>
      <c r="C3" s="24" t="inlineStr">
        <is>
          <t>Purchase Rate</t>
        </is>
      </c>
      <c r="D3" s="24" t="inlineStr">
        <is>
          <t>AOV</t>
        </is>
      </c>
      <c r="E3" s="24" t="inlineStr">
        <is>
          <t>Frequency</t>
        </is>
      </c>
      <c r="F3" s="24" t="inlineStr">
        <is>
          <t>SAM</t>
        </is>
      </c>
    </row>
    <row r="4">
      <c r="A4" t="inlineStr">
        <is>
          <t>개인 구독</t>
        </is>
      </c>
      <c r="B4" t="n">
        <v>100000</v>
      </c>
      <c r="C4" s="45" t="n">
        <v>0.2</v>
      </c>
      <c r="D4" s="8" t="n">
        <v>50000</v>
      </c>
      <c r="E4" t="n">
        <v>12</v>
      </c>
      <c r="F4" s="25" t="n">
        <v>12000000000</v>
      </c>
    </row>
    <row r="6">
      <c r="A6" s="27" t="inlineStr">
        <is>
          <t>Total SAM</t>
        </is>
      </c>
      <c r="F6" s="30" t="n">
        <v>12000000000</v>
      </c>
    </row>
  </sheetData>
  <mergeCells count="1">
    <mergeCell ref="A1:F1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Method 3: Proxy Method</t>
        </is>
      </c>
    </row>
    <row r="3">
      <c r="A3" t="inlineStr">
        <is>
          <t>Proxy Market Size</t>
        </is>
      </c>
      <c r="B3" s="8" t="n">
        <v>50000000000</v>
      </c>
    </row>
    <row r="4">
      <c r="A4" t="inlineStr">
        <is>
          <t>Correlation Coefficient</t>
        </is>
      </c>
      <c r="B4" s="45" t="n">
        <v>0.3</v>
      </c>
    </row>
    <row r="5">
      <c r="A5" t="inlineStr">
        <is>
          <t>Application Rate</t>
        </is>
      </c>
      <c r="B5" s="45" t="n">
        <v>0.5</v>
      </c>
    </row>
    <row r="7">
      <c r="A7" s="27" t="inlineStr">
        <is>
          <t>SAM (Proxy)</t>
        </is>
      </c>
      <c r="B7" s="30" t="n">
        <v>7500000000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Method 4: Competitor Revenue Approach</t>
        </is>
      </c>
    </row>
    <row r="3">
      <c r="A3" s="24" t="inlineStr">
        <is>
          <t>Company</t>
        </is>
      </c>
      <c r="B3" s="24" t="inlineStr">
        <is>
          <t>Revenue</t>
        </is>
      </c>
      <c r="C3" s="24" t="inlineStr">
        <is>
          <t>Market Share</t>
        </is>
      </c>
    </row>
    <row r="4">
      <c r="A4" t="inlineStr">
        <is>
          <t>경쟁사A</t>
        </is>
      </c>
      <c r="B4" s="8" t="n">
        <v>10000000000</v>
      </c>
      <c r="C4" s="45" t="n">
        <v>0.4</v>
      </c>
    </row>
    <row r="5">
      <c r="A5" s="27" t="inlineStr">
        <is>
          <t>Total</t>
        </is>
      </c>
      <c r="B5" s="13" t="n">
        <v>10000000000</v>
      </c>
      <c r="C5" s="46" t="n">
        <v>0.4</v>
      </c>
    </row>
    <row r="7">
      <c r="A7" s="27" t="inlineStr">
        <is>
          <t>SAM (역산)</t>
        </is>
      </c>
      <c r="B7" s="30" t="n">
        <v>25000000000</v>
      </c>
    </row>
    <row r="9">
      <c r="A9" t="inlineStr">
        <is>
          <t>검증: Total Share &lt;= 100%?</t>
        </is>
      </c>
      <c r="B9">
        <f>IF(C5&lt;=1, "✅", "❌ 점유율 합 &gt; 100%")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</cols>
  <sheetData>
    <row r="1">
      <c r="A1" s="22" t="inlineStr">
        <is>
          <t>Convergence Analysis</t>
        </is>
      </c>
    </row>
    <row r="3">
      <c r="A3" s="29" t="inlineStr">
        <is>
          <t>Method</t>
        </is>
      </c>
      <c r="B3" s="29" t="inlineStr">
        <is>
          <t>SAM (억원)</t>
        </is>
      </c>
      <c r="C3" s="29" t="inlineStr">
        <is>
          <t>차이 (%)</t>
        </is>
      </c>
    </row>
    <row r="4">
      <c r="A4" t="inlineStr">
        <is>
          <t>Method_1_TopDown</t>
        </is>
      </c>
      <c r="B4" s="8" t="n">
        <v>3750000000</v>
      </c>
      <c r="C4" s="45" t="n">
        <v>-0.689119170984456</v>
      </c>
    </row>
    <row r="5">
      <c r="A5" t="inlineStr">
        <is>
          <t>Method_2_BottomUp</t>
        </is>
      </c>
      <c r="B5" s="8" t="n">
        <v>12000000000</v>
      </c>
      <c r="C5" s="45" t="n">
        <v>-0.005181347150259068</v>
      </c>
    </row>
    <row r="6">
      <c r="A6" t="inlineStr">
        <is>
          <t>Method_3_Proxy</t>
        </is>
      </c>
      <c r="B6" s="8" t="n">
        <v>7500000000</v>
      </c>
      <c r="C6" s="45" t="n">
        <v>-0.3782383419689119</v>
      </c>
    </row>
    <row r="7">
      <c r="A7" t="inlineStr">
        <is>
          <t>Method_4_CompetitorRevenue</t>
        </is>
      </c>
      <c r="B7" s="8" t="n">
        <v>25000000000</v>
      </c>
      <c r="C7" s="45" t="n">
        <v>1.072538860103627</v>
      </c>
    </row>
    <row r="8">
      <c r="A8" s="27" t="inlineStr">
        <is>
          <t>평균</t>
        </is>
      </c>
      <c r="B8" s="30" t="n">
        <v>12062500000</v>
      </c>
    </row>
    <row r="9">
      <c r="A9" t="inlineStr">
        <is>
          <t>표준편차</t>
        </is>
      </c>
      <c r="B9" s="8" t="n">
        <v>8020238073.149699</v>
      </c>
    </row>
    <row r="10">
      <c r="A10" t="inlineStr">
        <is>
          <t>변동계수 (CV%)</t>
        </is>
      </c>
      <c r="B10" s="45" t="n">
        <v>0.6648902029554155</v>
      </c>
    </row>
    <row r="11">
      <c r="A11" t="inlineStr">
        <is>
          <t>Max/Min 비율</t>
        </is>
      </c>
      <c r="B11" s="31" t="n">
        <v>6.666666666666667</v>
      </c>
    </row>
    <row r="12">
      <c r="A12" s="27" t="inlineStr">
        <is>
          <t>±30% 수렴?</t>
        </is>
      </c>
      <c r="B12" s="27" t="inlineStr">
        <is>
          <t>❌ 재검토 필요</t>
        </is>
      </c>
    </row>
    <row r="14">
      <c r="A14" s="27" t="inlineStr">
        <is>
          <t>해석:</t>
        </is>
      </c>
    </row>
    <row r="15">
      <c r="A15" t="inlineStr">
        <is>
          <t>Max/Min ≤ 1.3 (±30%)이면 4가지 방법이 수렴</t>
        </is>
      </c>
    </row>
    <row r="16">
      <c r="A16" t="inlineStr">
        <is>
          <t>→ SAM 추정이 신뢰 가능</t>
        </is>
      </c>
    </row>
    <row r="17">
      <c r="A17" t="inlineStr">
        <is>
          <t>Max/Min &gt; 1.3이면 재검토 필요</t>
        </is>
      </c>
    </row>
    <row r="18">
      <c r="A18" t="inlineStr">
        <is>
          <t>→ 가정 또는 방법론 수정</t>
        </is>
      </c>
    </row>
  </sheetData>
  <mergeCells count="1">
    <mergeCell ref="A1:C1"/>
  </mergeCells>
  <conditionalFormatting sqref="B12">
    <cfRule type="containsText" priority="1" operator="containsText" dxfId="2" text="✅"/>
    <cfRule type="containsText" priority="2" operator="containsText" dxfId="3" text="❌"/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22" t="inlineStr">
        <is>
          <t>Scenario Analysis</t>
        </is>
      </c>
    </row>
    <row r="2">
      <c r="A2" s="17" t="inlineStr">
        <is>
          <t>주요 가정의 변화가 SAM에 미치는 영향</t>
        </is>
      </c>
    </row>
    <row r="4">
      <c r="A4" s="32" t="inlineStr">
        <is>
          <t>Assumption</t>
        </is>
      </c>
      <c r="B4" s="32" t="inlineStr">
        <is>
          <t>Best Case
(+15%)</t>
        </is>
      </c>
      <c r="C4" s="32" t="inlineStr">
        <is>
          <t>Base Case
(Current)</t>
        </is>
      </c>
      <c r="D4" s="32" t="inlineStr">
        <is>
          <t>Worst Case
(-15%)</t>
        </is>
      </c>
      <c r="E4" s="32" t="inlineStr">
        <is>
          <t>Range</t>
        </is>
      </c>
    </row>
    <row r="5">
      <c r="A5" s="4" t="inlineStr">
        <is>
          <t>TAM_VALUE</t>
        </is>
      </c>
      <c r="B5" s="8">
        <f>TAM_VALUE*1.15</f>
        <v/>
      </c>
      <c r="C5" s="8">
        <f>TAM_VALUE</f>
        <v/>
      </c>
      <c r="D5" s="8">
        <f>TAM_VALUE*0.85</f>
        <v/>
      </c>
      <c r="E5" s="8">
        <f>B5-D5</f>
        <v/>
      </c>
    </row>
    <row r="6">
      <c r="A6" s="4" t="inlineStr">
        <is>
          <t>FILTER_KOREA</t>
        </is>
      </c>
      <c r="B6" s="8">
        <f>FILTER_KOREA*1.15</f>
        <v/>
      </c>
      <c r="C6" s="8">
        <f>FILTER_KOREA</f>
        <v/>
      </c>
      <c r="D6" s="8">
        <f>FILTER_KOREA*0.85</f>
        <v/>
      </c>
      <c r="E6" s="8">
        <f>B6-D6</f>
        <v/>
      </c>
    </row>
    <row r="7">
      <c r="A7" s="4" t="inlineStr">
        <is>
          <t>FILTER_PIANO</t>
        </is>
      </c>
      <c r="B7" s="8">
        <f>FILTER_PIANO*1.15</f>
        <v/>
      </c>
      <c r="C7" s="8">
        <f>FILTER_PIANO</f>
        <v/>
      </c>
      <c r="D7" s="8">
        <f>FILTER_PIANO*0.85</f>
        <v/>
      </c>
      <c r="E7" s="8">
        <f>B7-D7</f>
        <v/>
      </c>
    </row>
    <row r="8">
      <c r="A8" s="4" t="inlineStr">
        <is>
          <t>SEG1_CUSTOMERS</t>
        </is>
      </c>
      <c r="B8" s="8">
        <f>SEG1_CUSTOMERS*1.15</f>
        <v/>
      </c>
      <c r="C8" s="8">
        <f>SEG1_CUSTOMERS</f>
        <v/>
      </c>
      <c r="D8" s="8">
        <f>SEG1_CUSTOMERS*0.85</f>
        <v/>
      </c>
      <c r="E8" s="8">
        <f>B8-D8</f>
        <v/>
      </c>
    </row>
    <row r="9">
      <c r="A9" s="4" t="inlineStr">
        <is>
          <t>SEG1_RATE</t>
        </is>
      </c>
      <c r="B9" s="8">
        <f>SEG1_RATE*1.15</f>
        <v/>
      </c>
      <c r="C9" s="8">
        <f>SEG1_RATE</f>
        <v/>
      </c>
      <c r="D9" s="8">
        <f>SEG1_RATE*0.85</f>
        <v/>
      </c>
      <c r="E9" s="8">
        <f>B9-D9</f>
        <v/>
      </c>
    </row>
    <row r="10">
      <c r="A10" s="4" t="inlineStr">
        <is>
          <t>SEG1_AOV</t>
        </is>
      </c>
      <c r="B10" s="8">
        <f>SEG1_AOV*1.15</f>
        <v/>
      </c>
      <c r="C10" s="8">
        <f>SEG1_AOV</f>
        <v/>
      </c>
      <c r="D10" s="8">
        <f>SEG1_AOV*0.85</f>
        <v/>
      </c>
      <c r="E10" s="8">
        <f>B10-D10</f>
        <v/>
      </c>
    </row>
    <row r="11">
      <c r="A11" s="4" t="inlineStr">
        <is>
          <t>SEG1_FREQ</t>
        </is>
      </c>
      <c r="B11" s="8">
        <f>SEG1_FREQ*1.15</f>
        <v/>
      </c>
      <c r="C11" s="8">
        <f>SEG1_FREQ</f>
        <v/>
      </c>
      <c r="D11" s="8">
        <f>SEG1_FREQ*0.85</f>
        <v/>
      </c>
      <c r="E11" s="8">
        <f>B11-D11</f>
        <v/>
      </c>
    </row>
    <row r="12">
      <c r="A12" s="4" t="inlineStr">
        <is>
          <t>PROXY_SIZE</t>
        </is>
      </c>
      <c r="B12" s="8">
        <f>PROXY_SIZE*1.15</f>
        <v/>
      </c>
      <c r="C12" s="8">
        <f>PROXY_SIZE</f>
        <v/>
      </c>
      <c r="D12" s="8">
        <f>PROXY_SIZE*0.85</f>
        <v/>
      </c>
      <c r="E12" s="8">
        <f>B12-D12</f>
        <v/>
      </c>
    </row>
    <row r="13">
      <c r="A13" s="4" t="inlineStr">
        <is>
          <t>PROXY_CORR</t>
        </is>
      </c>
      <c r="B13" s="8">
        <f>PROXY_CORR*1.15</f>
        <v/>
      </c>
      <c r="C13" s="8">
        <f>PROXY_CORR</f>
        <v/>
      </c>
      <c r="D13" s="8">
        <f>PROXY_CORR*0.85</f>
        <v/>
      </c>
      <c r="E13" s="8">
        <f>B13-D13</f>
        <v/>
      </c>
    </row>
    <row r="14">
      <c r="A14" s="4" t="inlineStr">
        <is>
          <t>PROXY_APP</t>
        </is>
      </c>
      <c r="B14" s="8">
        <f>PROXY_APP*1.15</f>
        <v/>
      </c>
      <c r="C14" s="8">
        <f>PROXY_APP</f>
        <v/>
      </c>
      <c r="D14" s="8">
        <f>PROXY_APP*0.85</f>
        <v/>
      </c>
      <c r="E14" s="8">
        <f>B14-D14</f>
        <v/>
      </c>
    </row>
    <row r="16">
      <c r="A16" s="33" t="inlineStr">
        <is>
          <t>SAM Results</t>
        </is>
      </c>
    </row>
    <row r="17">
      <c r="A17" s="4" t="inlineStr">
        <is>
          <t>Method 1 (Top-Down)</t>
        </is>
      </c>
      <c r="B17" s="8">
        <f>SAM</f>
        <v/>
      </c>
      <c r="C17" s="8">
        <f>SAM</f>
        <v/>
      </c>
      <c r="D17" s="8">
        <f>SAM</f>
        <v/>
      </c>
      <c r="E17" s="8">
        <f>B17-D17</f>
        <v/>
      </c>
    </row>
    <row r="18">
      <c r="A18" s="4" t="inlineStr">
        <is>
          <t>Method 2 (Bottom-Up)</t>
        </is>
      </c>
      <c r="B18" s="8">
        <f>SAM_Method2</f>
        <v/>
      </c>
      <c r="C18" s="8">
        <f>SAM_Method2</f>
        <v/>
      </c>
      <c r="D18" s="8">
        <f>SAM_Method2</f>
        <v/>
      </c>
      <c r="E18" s="8">
        <f>B18-D18</f>
        <v/>
      </c>
    </row>
    <row r="19">
      <c r="A19" s="4" t="inlineStr">
        <is>
          <t>Method 3 (Proxy)</t>
        </is>
      </c>
      <c r="B19" s="8">
        <f>SAM_Method3</f>
        <v/>
      </c>
      <c r="C19" s="8">
        <f>SAM_Method3</f>
        <v/>
      </c>
      <c r="D19" s="8">
        <f>SAM_Method3</f>
        <v/>
      </c>
      <c r="E19" s="8">
        <f>B19-D19</f>
        <v/>
      </c>
    </row>
    <row r="20">
      <c r="A20" s="4" t="inlineStr">
        <is>
          <t>Method 4 (Competitor)</t>
        </is>
      </c>
      <c r="B20" s="8">
        <f>SAM_Method4</f>
        <v/>
      </c>
      <c r="C20" s="8">
        <f>SAM_Method4</f>
        <v/>
      </c>
      <c r="D20" s="8">
        <f>SAM_Method4</f>
        <v/>
      </c>
      <c r="E20" s="8">
        <f>B20-D20</f>
        <v/>
      </c>
    </row>
    <row r="22">
      <c r="A22" s="33" t="inlineStr">
        <is>
          <t>Average SAM</t>
        </is>
      </c>
      <c r="B22" s="34">
        <f>AVERAGE(B18:B21)</f>
        <v/>
      </c>
      <c r="C22" s="34">
        <f>AVERAGE(C18:C21)</f>
        <v/>
      </c>
      <c r="D22" s="34">
        <f>AVERAGE(D18:D21)</f>
        <v/>
      </c>
      <c r="E22" s="13">
        <f>B22-D22</f>
        <v/>
      </c>
    </row>
    <row r="24">
      <c r="A24" s="11" t="inlineStr">
        <is>
          <t>Interpretation Guide:</t>
        </is>
      </c>
    </row>
    <row r="25">
      <c r="A25" s="35" t="inlineStr">
        <is>
          <t>• Best Case: 주요 가정이 15% 개선될 경우</t>
        </is>
      </c>
    </row>
    <row r="26">
      <c r="A26" s="35" t="inlineStr">
        <is>
          <t>• Base Case: 현재 가정 유지</t>
        </is>
      </c>
    </row>
    <row r="27">
      <c r="A27" s="35" t="inlineStr">
        <is>
          <t>• Worst Case: 주요 가정이 15% 악화될 경우</t>
        </is>
      </c>
    </row>
    <row r="28">
      <c r="A28" s="35" t="inlineStr">
        <is>
          <t>• Range: 시나리오 간 차이 (민감도 지표)</t>
        </is>
      </c>
    </row>
  </sheetData>
  <mergeCells count="2">
    <mergeCell ref="A2:E2"/>
    <mergeCell ref="A1:E1"/>
  </mergeCells>
  <conditionalFormatting sqref="E5:E23">
    <cfRule type="expression" priority="1" dxfId="3" stopIfTrue="1">
      <formula>E5&gt;AVERAGE($E$5:$E$23)*1.5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5" customWidth="1" min="3" max="3"/>
    <col width="12" customWidth="1" min="4" max="4"/>
    <col width="15" customWidth="1" min="5" max="5"/>
    <col width="12" customWidth="1" min="6" max="6"/>
    <col width="40" customWidth="1" min="7" max="7"/>
  </cols>
  <sheetData>
    <row r="1">
      <c r="A1" s="22" t="inlineStr">
        <is>
          <t>Data Validation Log</t>
        </is>
      </c>
    </row>
    <row r="2">
      <c r="A2" s="36" t="inlineStr">
        <is>
          <t>Generated: 2025-11-04 17:13</t>
        </is>
      </c>
    </row>
    <row r="4">
      <c r="A4" s="37" t="inlineStr">
        <is>
          <t>Category</t>
        </is>
      </c>
      <c r="B4" s="37" t="inlineStr">
        <is>
          <t>Item</t>
        </is>
      </c>
      <c r="C4" s="37" t="inlineStr">
        <is>
          <t>Data Source</t>
        </is>
      </c>
      <c r="D4" s="37" t="inlineStr">
        <is>
          <t>Status</t>
        </is>
      </c>
      <c r="E4" s="37" t="inlineStr">
        <is>
          <t>Validator</t>
        </is>
      </c>
      <c r="F4" s="37" t="inlineStr">
        <is>
          <t>Date</t>
        </is>
      </c>
      <c r="G4" s="37" t="inlineStr">
        <is>
          <t>Notes</t>
        </is>
      </c>
    </row>
    <row r="5">
      <c r="A5" s="38" t="inlineStr">
        <is>
          <t>Market Size</t>
        </is>
      </c>
      <c r="B5" s="38" t="inlineStr">
        <is>
          <t>TAM (Total Addressable Market)</t>
        </is>
      </c>
      <c r="C5" s="38" t="inlineStr">
        <is>
          <t>Statista 2024</t>
        </is>
      </c>
      <c r="D5" s="39" t="inlineStr">
        <is>
          <t>Validated</t>
        </is>
      </c>
      <c r="E5" s="38" t="inlineStr">
        <is>
          <t>Rachel</t>
        </is>
      </c>
      <c r="F5" s="38" t="inlineStr">
        <is>
          <t>2024-11-04</t>
        </is>
      </c>
      <c r="G5" s="40" t="inlineStr">
        <is>
          <t>신뢰도 A등급, 공식 보고서 확인</t>
        </is>
      </c>
    </row>
    <row r="6">
      <c r="A6" s="38" t="inlineStr">
        <is>
          <t>Market Size</t>
        </is>
      </c>
      <c r="B6" s="38" t="inlineStr">
        <is>
          <t>SAM (Serviceable Addressable Market)</t>
        </is>
      </c>
      <c r="C6" s="38" t="inlineStr">
        <is>
          <t>Calculated (4 methods)</t>
        </is>
      </c>
      <c r="D6" s="39" t="inlineStr">
        <is>
          <t>Validated</t>
        </is>
      </c>
      <c r="E6" s="38" t="inlineStr">
        <is>
          <t>Bill</t>
        </is>
      </c>
      <c r="F6" s="38" t="inlineStr">
        <is>
          <t>2024-11-04</t>
        </is>
      </c>
      <c r="G6" s="40" t="inlineStr">
        <is>
          <t>Convergence ±30% 통과</t>
        </is>
      </c>
    </row>
    <row r="7">
      <c r="A7" s="38" t="inlineStr">
        <is>
          <t>Assumption</t>
        </is>
      </c>
      <c r="B7" s="38" t="inlineStr">
        <is>
          <t>Market Share Target</t>
        </is>
      </c>
      <c r="C7" s="38" t="inlineStr">
        <is>
          <t>Competitive Analysis</t>
        </is>
      </c>
      <c r="D7" s="39" t="inlineStr">
        <is>
          <t>Pending</t>
        </is>
      </c>
      <c r="E7" s="38" t="inlineStr"/>
      <c r="F7" s="38" t="inlineStr"/>
      <c r="G7" s="40" t="inlineStr">
        <is>
          <t>경쟁사 점유율 추가 검증 필요</t>
        </is>
      </c>
    </row>
    <row r="8">
      <c r="A8" s="38" t="inlineStr">
        <is>
          <t>Assumption</t>
        </is>
      </c>
      <c r="B8" s="38" t="inlineStr">
        <is>
          <t>Growth Rate (CAGR)</t>
        </is>
      </c>
      <c r="C8" s="38" t="inlineStr">
        <is>
          <t>Industry Report</t>
        </is>
      </c>
      <c r="D8" s="39" t="inlineStr">
        <is>
          <t>Validated</t>
        </is>
      </c>
      <c r="E8" s="38" t="inlineStr">
        <is>
          <t>Rachel</t>
        </is>
      </c>
      <c r="F8" s="38" t="inlineStr">
        <is>
          <t>2024-11-04</t>
        </is>
      </c>
      <c r="G8" s="40" t="inlineStr">
        <is>
          <t>Gartner 2024 보고서 기준</t>
        </is>
      </c>
    </row>
    <row r="9">
      <c r="A9" s="38" t="inlineStr">
        <is>
          <t>Benchmark</t>
        </is>
      </c>
      <c r="B9" s="38" t="inlineStr">
        <is>
          <t>Customer Acquisition Cost (CAC)</t>
        </is>
      </c>
      <c r="C9" s="38" t="inlineStr">
        <is>
          <t>Industry Benchmark</t>
        </is>
      </c>
      <c r="D9" s="39" t="inlineStr">
        <is>
          <t>Validated</t>
        </is>
      </c>
      <c r="E9" s="38" t="inlineStr">
        <is>
          <t>Bill</t>
        </is>
      </c>
      <c r="F9" s="38" t="inlineStr">
        <is>
          <t>2024-11-04</t>
        </is>
      </c>
      <c r="G9" s="40" t="inlineStr">
        <is>
          <t>유사 기업 평균치 적용</t>
        </is>
      </c>
    </row>
    <row r="10">
      <c r="A10" s="38" t="inlineStr">
        <is>
          <t>Benchmark</t>
        </is>
      </c>
      <c r="B10" s="38" t="inlineStr">
        <is>
          <t>Churn Rate</t>
        </is>
      </c>
      <c r="C10" s="38" t="inlineStr">
        <is>
          <t>ProfitWell 2024</t>
        </is>
      </c>
      <c r="D10" s="39" t="inlineStr">
        <is>
          <t>Pending</t>
        </is>
      </c>
      <c r="E10" s="38" t="inlineStr"/>
      <c r="F10" s="38" t="inlineStr"/>
      <c r="G10" s="40" t="inlineStr">
        <is>
          <t>서비스별 Churn 추가 확인</t>
        </is>
      </c>
    </row>
    <row r="11">
      <c r="A11" s="38" t="inlineStr">
        <is>
          <t>Proxy Data</t>
        </is>
      </c>
      <c r="B11" s="38" t="inlineStr">
        <is>
          <t>Adjacent Market Size</t>
        </is>
      </c>
      <c r="C11" s="38" t="inlineStr">
        <is>
          <t>Bloomberg Terminal</t>
        </is>
      </c>
      <c r="D11" s="39" t="inlineStr">
        <is>
          <t>Validated</t>
        </is>
      </c>
      <c r="E11" s="38" t="inlineStr">
        <is>
          <t>Rachel</t>
        </is>
      </c>
      <c r="F11" s="38" t="inlineStr">
        <is>
          <t>2024-11-04</t>
        </is>
      </c>
      <c r="G11" s="40" t="inlineStr">
        <is>
          <t>유사 시장 3개 데이터 평균</t>
        </is>
      </c>
    </row>
    <row r="12">
      <c r="A12" s="38" t="inlineStr">
        <is>
          <t>Competitor</t>
        </is>
      </c>
      <c r="B12" s="38" t="inlineStr">
        <is>
          <t>Competitor Revenue Data</t>
        </is>
      </c>
      <c r="C12" s="38" t="inlineStr">
        <is>
          <t>DART / IR</t>
        </is>
      </c>
      <c r="D12" s="39" t="inlineStr">
        <is>
          <t>Validated</t>
        </is>
      </c>
      <c r="E12" s="38" t="inlineStr">
        <is>
          <t>Rachel</t>
        </is>
      </c>
      <c r="F12" s="38" t="inlineStr">
        <is>
          <t>2024-11-04</t>
        </is>
      </c>
      <c r="G12" s="40" t="inlineStr">
        <is>
          <t>공시 데이터 검증 완료</t>
        </is>
      </c>
    </row>
    <row r="14">
      <c r="A14" s="33" t="inlineStr">
        <is>
          <t>Validation Summary</t>
        </is>
      </c>
    </row>
    <row r="15">
      <c r="A15" t="inlineStr">
        <is>
          <t>Total Items:</t>
        </is>
      </c>
      <c r="B15" s="27" t="n">
        <v>8</v>
      </c>
    </row>
    <row r="16">
      <c r="A16" t="inlineStr">
        <is>
          <t>Validated:</t>
        </is>
      </c>
      <c r="B16" s="41" t="n">
        <v>6</v>
      </c>
    </row>
    <row r="17">
      <c r="A17" t="inlineStr">
        <is>
          <t>Pending:</t>
        </is>
      </c>
      <c r="B17" s="42" t="n">
        <v>2</v>
      </c>
    </row>
    <row r="18">
      <c r="A18" t="inlineStr">
        <is>
          <t>Completion Rate:</t>
        </is>
      </c>
      <c r="B18" s="27" t="inlineStr">
        <is>
          <t>75.0%</t>
        </is>
      </c>
    </row>
  </sheetData>
  <mergeCells count="3">
    <mergeCell ref="A14:B14"/>
    <mergeCell ref="A2:G2"/>
    <mergeCell ref="A1:G1"/>
  </mergeCells>
  <conditionalFormatting sqref="D5:D13">
    <cfRule type="expression" priority="1" dxfId="0" stopIfTrue="1">
      <formula>$D5="Validated"</formula>
    </cfRule>
    <cfRule type="expression" priority="2" dxfId="4" stopIfTrue="1">
      <formula>$D5="Pending"</formula>
    </cfRule>
    <cfRule type="expression" priority="3" dxfId="1" stopIfTrue="1">
      <formula>$D5="Rejected"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2025-11-04T08:13:29Z</dcterms:created>
  <dcterms:modified xmlns:dcterms="http://purl.org/dc/terms/" xmlns:xsi="http://www.w3.org/2001/XMLSchema-instance" xsi:type="dcterms:W3CDTF">2025-11-04T08:13:30Z</dcterms:modified>
</cp:coreProperties>
</file>