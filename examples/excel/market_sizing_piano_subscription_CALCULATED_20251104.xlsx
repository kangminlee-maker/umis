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AvgSAM_Best">'Scenarios'!$B$22</definedName>
    <definedName name="AvgSAM_Base">'Scenarios'!$C$22</definedName>
    <definedName name="AvgSAM_Worst">'Scenarios'!$D$22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%"/>
  </numFmts>
  <fonts count="21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  <font>
      <b val="1"/>
      <color rgb="000070C0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  <xf numFmtId="3" fontId="20" fillId="7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System</author>
  </authors>
  <commentList>
    <comment ref="A5" authorId="0" shapeId="0">
      <text>
        <t>원 수식: =TAM_VALUE</t>
      </text>
    </comment>
    <comment ref="B6" authorId="0" shapeId="0">
      <text>
        <t>원 수식: =A5*B5</t>
      </text>
    </comment>
    <comment ref="C6" authorId="0" shapeId="0">
      <text>
        <t>원 수식: =B6*C5
SAM (Method 1)</t>
      </text>
    </comment>
  </commentList>
</comments>
</file>

<file path=xl/comments/comment3.xml><?xml version="1.0" encoding="utf-8"?>
<comments xmlns="http://schemas.openxmlformats.org/spreadsheetml/2006/main">
  <authors>
    <author>System</author>
  </authors>
  <commentList>
    <comment ref="F4" authorId="0" shapeId="0">
      <text>
        <t>원 수식: =B4*C4*D4*E4</t>
      </text>
    </comment>
    <comment ref="F6" authorId="0" shapeId="0">
      <text>
        <t>원 수식: =SUM(F4:F4)
SAM (Method 2)</t>
      </text>
    </comment>
  </commentList>
</comments>
</file>

<file path=xl/comments/comment4.xml><?xml version="1.0" encoding="utf-8"?>
<comments xmlns="http://schemas.openxmlformats.org/spreadsheetml/2006/main">
  <authors>
    <author>System</author>
  </authors>
  <commentList>
    <comment ref="B7" authorId="0" shapeId="0">
      <text>
        <t>원 수식: =B3*B4*B5
SAM (Method 3)</t>
      </text>
    </comment>
  </commentList>
</comments>
</file>

<file path=xl/comments/comment5.xml><?xml version="1.0" encoding="utf-8"?>
<comments xmlns="http://schemas.openxmlformats.org/spreadsheetml/2006/main">
  <authors>
    <author>System</author>
  </authors>
  <commentList>
    <comment ref="B7" authorId="0" shapeId="0">
      <text>
        <t>원 수식: =B5/C5
SAM (Method 4)</t>
      </text>
    </comment>
  </commentList>
</comments>
</file>

<file path=xl/comments/comment6.xml><?xml version="1.0" encoding="utf-8"?>
<comments xmlns="http://schemas.openxmlformats.org/spreadsheetml/2006/main">
  <authors>
    <author>System</author>
  </authors>
  <commentList>
    <comment ref="B8" authorId="0" shapeId="0">
      <text>
        <t>원 수식: =AVERAGE(B4:B7)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 t="n">
        <v>100000000000</v>
      </c>
    </row>
    <row r="6">
      <c r="A6" s="4" t="inlineStr">
        <is>
          <t>Serviceable Addressable Market (SAM):</t>
        </is>
      </c>
      <c r="B6" s="43" t="n">
        <v>12062500000</v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 t="n">
        <v>3750000000</v>
      </c>
      <c r="C10" s="44">
        <f>B10/B7*100</f>
        <v/>
      </c>
    </row>
    <row r="11">
      <c r="A11" s="4" t="inlineStr">
        <is>
          <t>Method 2: Bottom-Up</t>
        </is>
      </c>
      <c r="B11" s="8" t="n">
        <v>12000000000</v>
      </c>
      <c r="C11" s="44">
        <f>B11/B7*100</f>
        <v/>
      </c>
    </row>
    <row r="12">
      <c r="A12" s="4" t="inlineStr">
        <is>
          <t>Method 3: Proxy</t>
        </is>
      </c>
      <c r="B12" s="8" t="n">
        <v>7500000000</v>
      </c>
      <c r="C12" s="44">
        <f>B12/B7*100</f>
        <v/>
      </c>
    </row>
    <row r="13">
      <c r="A13" s="4" t="inlineStr">
        <is>
          <t>Method 4: Competitor Revenue</t>
        </is>
      </c>
      <c r="B13" s="8" t="n">
        <v>25000000000</v>
      </c>
      <c r="C13" s="44">
        <f>B13/B7*100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Convergence_Analysis!B11</f>
        <v/>
      </c>
    </row>
    <row r="17">
      <c r="A17" s="4" t="inlineStr">
        <is>
          <t>Convergence Status:</t>
        </is>
      </c>
      <c r="B17" s="11">
        <f>Convergence_Analysis!B12</f>
        <v/>
      </c>
    </row>
    <row r="18">
      <c r="A18" s="4" t="inlineStr">
        <is>
          <t>Standard Deviation:</t>
        </is>
      </c>
      <c r="B18" s="8">
        <f>Convergence_Analysis!C17</f>
        <v/>
      </c>
    </row>
    <row r="19">
      <c r="A19" s="4" t="inlineStr">
        <is>
          <t>Coefficient of Variation (CV%):</t>
        </is>
      </c>
      <c r="B19" s="44">
        <f>Convergence_Analysis!C18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AvgSAM_Best</f>
        <v/>
      </c>
    </row>
    <row r="24">
      <c r="A24" s="4" t="inlineStr">
        <is>
          <t>Base Case (Current)</t>
        </is>
      </c>
      <c r="B24" s="13">
        <f>AvgSAM_Base</f>
        <v/>
      </c>
    </row>
    <row r="25">
      <c r="A25" s="4" t="inlineStr">
        <is>
          <t>Worst Case (-15%)</t>
        </is>
      </c>
      <c r="B25" s="14">
        <f>AvgSAM_Worst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Validation_Log!B19</f>
        <v/>
      </c>
    </row>
    <row r="30">
      <c r="A30" s="4" t="inlineStr">
        <is>
          <t>Validated:</t>
        </is>
      </c>
      <c r="B30" s="15">
        <f>Validation_Log!B20</f>
        <v/>
      </c>
    </row>
    <row r="31">
      <c r="A31" s="4" t="inlineStr">
        <is>
          <t>Pending:</t>
        </is>
      </c>
      <c r="B31" s="16">
        <f>Validation_Log!B21</f>
        <v/>
      </c>
    </row>
    <row r="32">
      <c r="A32" s="4" t="inlineStr">
        <is>
          <t>Completion Rate:</t>
        </is>
      </c>
      <c r="B32" s="11">
        <f>Validation_Log!B22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1:F1"/>
    <mergeCell ref="A8:C8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 시장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 비중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 비중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 고객 수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구독 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월 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연간 결제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 시장 규모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상관계수</t>
        </is>
      </c>
      <c r="D10" s="20" t="n">
        <v>0.3</v>
      </c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 비율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경쟁사A 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시장 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 비중</t>
        </is>
      </c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 고객 수</t>
        </is>
      </c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구독 전환율</t>
        </is>
      </c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상관계수</t>
        </is>
      </c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 비율</t>
        </is>
      </c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시장 점유율</t>
        </is>
      </c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 시장</t>
        </is>
      </c>
      <c r="B4" t="inlineStr">
        <is>
          <t>한국 비중 15%</t>
        </is>
      </c>
      <c r="C4" t="inlineStr">
        <is>
          <t>피아노만 25%</t>
        </is>
      </c>
    </row>
    <row r="5">
      <c r="A5" s="25" t="n">
        <v>100000000000</v>
      </c>
      <c r="B5" s="45" t="n">
        <v>0.15</v>
      </c>
      <c r="C5" s="45" t="n">
        <v>0.25</v>
      </c>
    </row>
    <row r="6">
      <c r="B6" s="25" t="n">
        <v>15000000000</v>
      </c>
      <c r="C6" s="30" t="n">
        <v>3750000000</v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 구독</t>
        </is>
      </c>
      <c r="B4" t="n">
        <v>100000</v>
      </c>
      <c r="C4" s="45" t="n">
        <v>0.2</v>
      </c>
      <c r="D4" s="8" t="n">
        <v>50000</v>
      </c>
      <c r="E4" t="n">
        <v>12</v>
      </c>
      <c r="F4" s="25" t="n">
        <v>12000000000</v>
      </c>
    </row>
    <row r="6">
      <c r="A6" s="27" t="inlineStr">
        <is>
          <t>Total SAM</t>
        </is>
      </c>
      <c r="F6" s="30" t="n">
        <v>12000000000</v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 t="n">
        <v>50000000000</v>
      </c>
    </row>
    <row r="4">
      <c r="A4" t="inlineStr">
        <is>
          <t>Correlation Coefficient</t>
        </is>
      </c>
      <c r="B4" s="45" t="n">
        <v>0.3</v>
      </c>
    </row>
    <row r="5">
      <c r="A5" t="inlineStr">
        <is>
          <t>Application Rate</t>
        </is>
      </c>
      <c r="B5" s="45" t="n">
        <v>0.5</v>
      </c>
    </row>
    <row r="7">
      <c r="A7" s="27" t="inlineStr">
        <is>
          <t>SAM (Proxy)</t>
        </is>
      </c>
      <c r="B7" s="30" t="n">
        <v>7500000000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 t="n">
        <v>10000000000</v>
      </c>
      <c r="C4" s="45" t="n">
        <v>0.4</v>
      </c>
    </row>
    <row r="5">
      <c r="A5" s="27" t="inlineStr">
        <is>
          <t>Total</t>
        </is>
      </c>
      <c r="B5" s="13" t="n">
        <v>10000000000</v>
      </c>
      <c r="C5" s="46" t="n">
        <v>0.4</v>
      </c>
    </row>
    <row r="7">
      <c r="A7" s="27" t="inlineStr">
        <is>
          <t>SAM (역산)</t>
        </is>
      </c>
      <c r="B7" s="30" t="n">
        <v>25000000000</v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 t="n">
        <v>3750000000</v>
      </c>
      <c r="C4" s="45" t="n">
        <v>-0.689119170984456</v>
      </c>
    </row>
    <row r="5">
      <c r="A5" t="inlineStr">
        <is>
          <t>Method_2_BottomUp</t>
        </is>
      </c>
      <c r="B5" s="8" t="n">
        <v>12000000000</v>
      </c>
      <c r="C5" s="45" t="n">
        <v>-0.005181347150259068</v>
      </c>
    </row>
    <row r="6">
      <c r="A6" t="inlineStr">
        <is>
          <t>Method_3_Proxy</t>
        </is>
      </c>
      <c r="B6" s="8" t="n">
        <v>7500000000</v>
      </c>
      <c r="C6" s="45" t="n">
        <v>-0.3782383419689119</v>
      </c>
    </row>
    <row r="7">
      <c r="A7" t="inlineStr">
        <is>
          <t>Method_4_CompetitorRevenue</t>
        </is>
      </c>
      <c r="B7" s="8" t="n">
        <v>25000000000</v>
      </c>
      <c r="C7" s="45" t="n">
        <v>1.072538860103627</v>
      </c>
    </row>
    <row r="8">
      <c r="A8" s="27" t="inlineStr">
        <is>
          <t>평균</t>
        </is>
      </c>
      <c r="B8" s="30" t="n">
        <v>12062500000</v>
      </c>
    </row>
    <row r="9">
      <c r="A9" t="inlineStr">
        <is>
          <t>표준편차</t>
        </is>
      </c>
      <c r="B9" s="8" t="n">
        <v>8020238073.149699</v>
      </c>
    </row>
    <row r="10">
      <c r="A10" t="inlineStr">
        <is>
          <t>변동계수 (CV%)</t>
        </is>
      </c>
      <c r="B10" s="45" t="n">
        <v>0.6648902029554155</v>
      </c>
    </row>
    <row r="11">
      <c r="A11" t="inlineStr">
        <is>
          <t>Max/Min 비율</t>
        </is>
      </c>
      <c r="B11" s="31" t="n">
        <v>6.666666666666667</v>
      </c>
    </row>
    <row r="12">
      <c r="A12" s="27" t="inlineStr">
        <is>
          <t>±30% 수렴?</t>
        </is>
      </c>
      <c r="B12" s="27" t="inlineStr">
        <is>
          <t>❌ 재검토 필요</t>
        </is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2">
      <c r="A22" s="33" t="inlineStr">
        <is>
          <t>Average SAM</t>
        </is>
      </c>
      <c r="B22" s="34">
        <f>AVERAGE(B18:B21)</f>
        <v/>
      </c>
      <c r="C22" s="34">
        <f>AVERAGE(C18:C21)</f>
        <v/>
      </c>
      <c r="D22" s="34">
        <f>AVERAGE(D18:D21)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17:16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2025-11-04T08:16:23Z</dcterms:created>
  <dcterms:modified xmlns:dcterms="http://purl.org/dc/terms/" xmlns:xsi="http://www.w3.org/2001/XMLSchema-instance" xsi:type="dcterms:W3CDTF">2025-11-04T08:16:24Z</dcterms:modified>
</cp:coreProperties>
</file>